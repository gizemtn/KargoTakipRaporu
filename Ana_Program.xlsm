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BuÇalışmaKitabı" hidePivotFieldList="1"/>
  <mc:AlternateContent xmlns:mc="http://schemas.openxmlformats.org/markup-compatibility/2006">
    <mc:Choice Requires="x15">
      <x15ac:absPath xmlns:x15ac="http://schemas.microsoft.com/office/spreadsheetml/2010/11/ac" url="C:\Users\Acer\Desktop\pyhon_temel\"/>
    </mc:Choice>
  </mc:AlternateContent>
  <xr:revisionPtr revIDLastSave="0" documentId="13_ncr:1_{EB9AFA56-6331-42E2-AD1E-35A42A37F278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vot Table" sheetId="3" r:id="rId1"/>
    <sheet name="Dashboard" sheetId="4" r:id="rId2"/>
    <sheet name="Siparişler" sheetId="1" r:id="rId3"/>
  </sheets>
  <definedNames>
    <definedName name="bölge">'Pivot Table'!#REF!</definedName>
    <definedName name="sehir">'Pivot Table'!$A$25:$A$32</definedName>
  </definedNames>
  <calcPr calcId="191029"/>
  <pivotCaches>
    <pivotCache cacheId="6" r:id="rId4"/>
    <pivotCache cacheId="44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 a="1"/>
  <c r="A2" i="3" s="1"/>
  <c r="B10" i="3"/>
  <c r="B9" i="3"/>
  <c r="B8" i="3"/>
  <c r="B7" i="3"/>
  <c r="B6" i="3"/>
  <c r="B5" i="3"/>
  <c r="B4" i="3"/>
  <c r="B3" i="3"/>
  <c r="B2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<sst xmlns="http://schemas.openxmlformats.org/spreadsheetml/2006/main" count="5534" uniqueCount="1900">
  <si>
    <t>İşlem Kodu</t>
  </si>
  <si>
    <t>İsim</t>
  </si>
  <si>
    <t>Soyisim</t>
  </si>
  <si>
    <t>Şehir</t>
  </si>
  <si>
    <t>Ürün</t>
  </si>
  <si>
    <t>Adet</t>
  </si>
  <si>
    <t>Durum</t>
  </si>
  <si>
    <t>SE-001</t>
  </si>
  <si>
    <t>Serhat</t>
  </si>
  <si>
    <t>Başkan Vuralkan</t>
  </si>
  <si>
    <t>Bursa</t>
  </si>
  <si>
    <t>Yazıcı</t>
  </si>
  <si>
    <t>Paketlemede</t>
  </si>
  <si>
    <t>SE-002</t>
  </si>
  <si>
    <t>Serdar</t>
  </si>
  <si>
    <t>Çelik</t>
  </si>
  <si>
    <t>İzmir</t>
  </si>
  <si>
    <t>Drone</t>
  </si>
  <si>
    <t>Tamamlandı</t>
  </si>
  <si>
    <t>TA-003</t>
  </si>
  <si>
    <t>Tayyar</t>
  </si>
  <si>
    <t>Alp Yenin</t>
  </si>
  <si>
    <t>Uşak</t>
  </si>
  <si>
    <t>Kulaklık</t>
  </si>
  <si>
    <t>HA-004</t>
  </si>
  <si>
    <t>Hakan</t>
  </si>
  <si>
    <t>Sulhan</t>
  </si>
  <si>
    <t>Webcam</t>
  </si>
  <si>
    <t>ŞA-005</t>
  </si>
  <si>
    <t>Şafak</t>
  </si>
  <si>
    <t>Balaban</t>
  </si>
  <si>
    <t>Trabzon</t>
  </si>
  <si>
    <t>TV</t>
  </si>
  <si>
    <t>ŞE-006</t>
  </si>
  <si>
    <t>Şenay</t>
  </si>
  <si>
    <t>Yıldırım</t>
  </si>
  <si>
    <t>Hard Disk</t>
  </si>
  <si>
    <t>ME-007</t>
  </si>
  <si>
    <t>Melda</t>
  </si>
  <si>
    <t>Ekici</t>
  </si>
  <si>
    <t>Oyun Konsolu</t>
  </si>
  <si>
    <t>MU-009</t>
  </si>
  <si>
    <t>Muammer</t>
  </si>
  <si>
    <t>Kalyoncu Uçar</t>
  </si>
  <si>
    <t>SE-0010</t>
  </si>
  <si>
    <t>Serdal</t>
  </si>
  <si>
    <t>Akıncı</t>
  </si>
  <si>
    <t>Tslm Edldi</t>
  </si>
  <si>
    <t>ZE-0011</t>
  </si>
  <si>
    <t>Zeliha</t>
  </si>
  <si>
    <t>Kılıç</t>
  </si>
  <si>
    <t>Konya</t>
  </si>
  <si>
    <t>MÜ-0012</t>
  </si>
  <si>
    <t>Münever</t>
  </si>
  <si>
    <t>Sevinç</t>
  </si>
  <si>
    <t>SÜ-0013</t>
  </si>
  <si>
    <t>Süleyman</t>
  </si>
  <si>
    <t>Akşahin</t>
  </si>
  <si>
    <t>ZE-0014</t>
  </si>
  <si>
    <t>Taş</t>
  </si>
  <si>
    <t>GÜ-0016</t>
  </si>
  <si>
    <t>Gülseren</t>
  </si>
  <si>
    <t>Başyurt</t>
  </si>
  <si>
    <t>istnbl</t>
  </si>
  <si>
    <t>Klavye</t>
  </si>
  <si>
    <t>RE-0017</t>
  </si>
  <si>
    <t>Refaettin</t>
  </si>
  <si>
    <t>Sül</t>
  </si>
  <si>
    <t>Ankara</t>
  </si>
  <si>
    <t>Monitör</t>
  </si>
  <si>
    <t>ÇE-0018</t>
  </si>
  <si>
    <t>Çetin</t>
  </si>
  <si>
    <t>Cimbek</t>
  </si>
  <si>
    <t>GÜ-0019</t>
  </si>
  <si>
    <t>Gülname</t>
  </si>
  <si>
    <t>Çelen</t>
  </si>
  <si>
    <t>Antalya</t>
  </si>
  <si>
    <t>SE-0020</t>
  </si>
  <si>
    <t>Karabağ</t>
  </si>
  <si>
    <t>Bolu</t>
  </si>
  <si>
    <t>Mouse</t>
  </si>
  <si>
    <t>NE-0021</t>
  </si>
  <si>
    <t>Nejdet</t>
  </si>
  <si>
    <t>Şen</t>
  </si>
  <si>
    <t>Kamera</t>
  </si>
  <si>
    <t>İL-0022</t>
  </si>
  <si>
    <t>İlknur</t>
  </si>
  <si>
    <t>Yüzbaşıoğlu</t>
  </si>
  <si>
    <t>ZA-0023</t>
  </si>
  <si>
    <t>Zafer</t>
  </si>
  <si>
    <t>Başaran</t>
  </si>
  <si>
    <t>Laptop</t>
  </si>
  <si>
    <t>RE-0024</t>
  </si>
  <si>
    <t>Yılmaz</t>
  </si>
  <si>
    <t>MÜ-0026</t>
  </si>
  <si>
    <t>Mübeccel</t>
  </si>
  <si>
    <t>Öcal</t>
  </si>
  <si>
    <t>BU-0027</t>
  </si>
  <si>
    <t>Burcu</t>
  </si>
  <si>
    <t>EM-0028</t>
  </si>
  <si>
    <t>Emel</t>
  </si>
  <si>
    <t>Cennet Topaloğlu</t>
  </si>
  <si>
    <t>Bİ-0029</t>
  </si>
  <si>
    <t>Birsen</t>
  </si>
  <si>
    <t>Özdemir</t>
  </si>
  <si>
    <t>Kartuş</t>
  </si>
  <si>
    <t>UM-0030</t>
  </si>
  <si>
    <t>Umut</t>
  </si>
  <si>
    <t>Sinan Danışoğlu</t>
  </si>
  <si>
    <t>BA-0031</t>
  </si>
  <si>
    <t>Barış</t>
  </si>
  <si>
    <t>Ertekin</t>
  </si>
  <si>
    <t>SA-0032</t>
  </si>
  <si>
    <t>Sami</t>
  </si>
  <si>
    <t>Görkem</t>
  </si>
  <si>
    <t>ÜL-0034</t>
  </si>
  <si>
    <t>Ülkühan</t>
  </si>
  <si>
    <t>Özen</t>
  </si>
  <si>
    <t>EM-0035</t>
  </si>
  <si>
    <t>Emine</t>
  </si>
  <si>
    <t>Eker</t>
  </si>
  <si>
    <t>YA-0036</t>
  </si>
  <si>
    <t>Yasemin</t>
  </si>
  <si>
    <t>Yaman</t>
  </si>
  <si>
    <t>CE-0037</t>
  </si>
  <si>
    <t>Cem</t>
  </si>
  <si>
    <t>Murt</t>
  </si>
  <si>
    <t>SE-0038</t>
  </si>
  <si>
    <t>Serkan</t>
  </si>
  <si>
    <t>Gündüz</t>
  </si>
  <si>
    <t>Telefon</t>
  </si>
  <si>
    <t>ME-0039</t>
  </si>
  <si>
    <t>Meral</t>
  </si>
  <si>
    <t>Sönmez</t>
  </si>
  <si>
    <t>TU-0040</t>
  </si>
  <si>
    <t>Tuba</t>
  </si>
  <si>
    <t>Yücetürk</t>
  </si>
  <si>
    <t>CE-0041</t>
  </si>
  <si>
    <t>Cemile</t>
  </si>
  <si>
    <t>Çiğdem Yüce</t>
  </si>
  <si>
    <t>GÖ-0042</t>
  </si>
  <si>
    <t>Gökmen</t>
  </si>
  <si>
    <t>Alpaslan Özer</t>
  </si>
  <si>
    <t>ER-0043</t>
  </si>
  <si>
    <t>Erhan</t>
  </si>
  <si>
    <t>Evik</t>
  </si>
  <si>
    <t>TÜ-0044</t>
  </si>
  <si>
    <t>Tülay</t>
  </si>
  <si>
    <t>Karamanlı</t>
  </si>
  <si>
    <t>VE-0045</t>
  </si>
  <si>
    <t>Vedat</t>
  </si>
  <si>
    <t>Onay</t>
  </si>
  <si>
    <t>YU-0046</t>
  </si>
  <si>
    <t>Yusuf</t>
  </si>
  <si>
    <t>Alper Albayrak</t>
  </si>
  <si>
    <t>SO-0048</t>
  </si>
  <si>
    <t>Sonay</t>
  </si>
  <si>
    <t>Suluova</t>
  </si>
  <si>
    <t>GÜ-0049</t>
  </si>
  <si>
    <t>Gülşah</t>
  </si>
  <si>
    <t>Gümüş</t>
  </si>
  <si>
    <t>SE-0050</t>
  </si>
  <si>
    <t>Sevgül</t>
  </si>
  <si>
    <t>Onan</t>
  </si>
  <si>
    <t>TA-0051</t>
  </si>
  <si>
    <t>Talha</t>
  </si>
  <si>
    <t>Kabacaoğlu</t>
  </si>
  <si>
    <t>RA-0052</t>
  </si>
  <si>
    <t>Ramazan</t>
  </si>
  <si>
    <t>Kara</t>
  </si>
  <si>
    <t>FA-0053</t>
  </si>
  <si>
    <t>Fatih</t>
  </si>
  <si>
    <t>Akhun</t>
  </si>
  <si>
    <t>EM-0054</t>
  </si>
  <si>
    <t>Erol</t>
  </si>
  <si>
    <t>MU-0055</t>
  </si>
  <si>
    <t>Mustafa</t>
  </si>
  <si>
    <t>Arif Orhon</t>
  </si>
  <si>
    <t>TU-0056</t>
  </si>
  <si>
    <t>Avcıoğlu</t>
  </si>
  <si>
    <t>Nİ-0058</t>
  </si>
  <si>
    <t>Nihat</t>
  </si>
  <si>
    <t>Uz</t>
  </si>
  <si>
    <t>MÜ-0059</t>
  </si>
  <si>
    <t>Müslim</t>
  </si>
  <si>
    <t>Bektaş</t>
  </si>
  <si>
    <t>KU-0060</t>
  </si>
  <si>
    <t>Kubilay</t>
  </si>
  <si>
    <t>Yıldız</t>
  </si>
  <si>
    <t>Kargoda</t>
  </si>
  <si>
    <t>TU-0062</t>
  </si>
  <si>
    <t>Tuğra</t>
  </si>
  <si>
    <t>Kaynak</t>
  </si>
  <si>
    <t>EM-0063</t>
  </si>
  <si>
    <t>Emrah</t>
  </si>
  <si>
    <t>Kılaç</t>
  </si>
  <si>
    <t>AY-0064</t>
  </si>
  <si>
    <t>Aylia</t>
  </si>
  <si>
    <t>Dİ-0065</t>
  </si>
  <si>
    <t>Dilek</t>
  </si>
  <si>
    <t>Yarbil</t>
  </si>
  <si>
    <t>ER-0066</t>
  </si>
  <si>
    <t>Gürdal</t>
  </si>
  <si>
    <t>ME-0068</t>
  </si>
  <si>
    <t>Mehtap</t>
  </si>
  <si>
    <t>Acar</t>
  </si>
  <si>
    <t>HA-0069</t>
  </si>
  <si>
    <t>Hale</t>
  </si>
  <si>
    <t>Akcan Atasoy</t>
  </si>
  <si>
    <t>BU-0070</t>
  </si>
  <si>
    <t>Aydın</t>
  </si>
  <si>
    <t>MU-0071</t>
  </si>
  <si>
    <t>Muhammet</t>
  </si>
  <si>
    <t>Devran Kılıç</t>
  </si>
  <si>
    <t>Sİ-0072</t>
  </si>
  <si>
    <t>Simender</t>
  </si>
  <si>
    <t>Aksun</t>
  </si>
  <si>
    <t>Fİ-0073</t>
  </si>
  <si>
    <t>Filiz</t>
  </si>
  <si>
    <t>Çetemen</t>
  </si>
  <si>
    <t>Fİ-0075</t>
  </si>
  <si>
    <t>Tepe</t>
  </si>
  <si>
    <t>MU-0076</t>
  </si>
  <si>
    <t>Kemal Belgemen</t>
  </si>
  <si>
    <t>HA-0077</t>
  </si>
  <si>
    <t>Hande</t>
  </si>
  <si>
    <t>Esen</t>
  </si>
  <si>
    <t>EV-0078</t>
  </si>
  <si>
    <t>Evre</t>
  </si>
  <si>
    <t>Köşker</t>
  </si>
  <si>
    <t>GÜ-0080</t>
  </si>
  <si>
    <t>Sürmen Akyol</t>
  </si>
  <si>
    <t>ZA-0081</t>
  </si>
  <si>
    <t>Zahide</t>
  </si>
  <si>
    <t>GÜ-0082</t>
  </si>
  <si>
    <t>Güldehen</t>
  </si>
  <si>
    <t>Doğan</t>
  </si>
  <si>
    <t>RU-0083</t>
  </si>
  <si>
    <t>Rukiye</t>
  </si>
  <si>
    <t>Çalışkantürk</t>
  </si>
  <si>
    <t>IŞ-0084</t>
  </si>
  <si>
    <t>Işık</t>
  </si>
  <si>
    <t>Özel</t>
  </si>
  <si>
    <t>SO-0085</t>
  </si>
  <si>
    <t>Yiğit Kuplay</t>
  </si>
  <si>
    <t>ME-0086</t>
  </si>
  <si>
    <t>Mete</t>
  </si>
  <si>
    <t>Ercan</t>
  </si>
  <si>
    <t>HA-0088</t>
  </si>
  <si>
    <t>Hatice</t>
  </si>
  <si>
    <t>Eylül Alpınar</t>
  </si>
  <si>
    <t>HA-0089</t>
  </si>
  <si>
    <t>Hasan</t>
  </si>
  <si>
    <t>Kaya</t>
  </si>
  <si>
    <t>İZ-0090</t>
  </si>
  <si>
    <t>İzzet</t>
  </si>
  <si>
    <t>HA-0091</t>
  </si>
  <si>
    <t>Haci</t>
  </si>
  <si>
    <t>Halil Kırhan</t>
  </si>
  <si>
    <t>SE-0092</t>
  </si>
  <si>
    <t>Seda</t>
  </si>
  <si>
    <t>Elçim Özçay</t>
  </si>
  <si>
    <t>TU-0093</t>
  </si>
  <si>
    <t>Tuğba</t>
  </si>
  <si>
    <t>Özdemir Akdur</t>
  </si>
  <si>
    <t>ÖZ-0094</t>
  </si>
  <si>
    <t>Özlem</t>
  </si>
  <si>
    <t>NU-0095</t>
  </si>
  <si>
    <t>Nurcan</t>
  </si>
  <si>
    <t>Saraç</t>
  </si>
  <si>
    <t>YA-0096</t>
  </si>
  <si>
    <t>Yaşar</t>
  </si>
  <si>
    <t>Gökhan Ay Güney</t>
  </si>
  <si>
    <t>GÖ-0097</t>
  </si>
  <si>
    <t>Alpaslan Gündüz</t>
  </si>
  <si>
    <t>ER-0098</t>
  </si>
  <si>
    <t>Güven Meşe</t>
  </si>
  <si>
    <t>TU-0099</t>
  </si>
  <si>
    <t>Tuna</t>
  </si>
  <si>
    <t>İner Köksal</t>
  </si>
  <si>
    <t>MU-00100</t>
  </si>
  <si>
    <t>Nİ-00102</t>
  </si>
  <si>
    <t>Nilay</t>
  </si>
  <si>
    <t>Işıklı</t>
  </si>
  <si>
    <t>FA-00103</t>
  </si>
  <si>
    <t>Fatma</t>
  </si>
  <si>
    <t>Esin Çetin</t>
  </si>
  <si>
    <t>IŞ-00104</t>
  </si>
  <si>
    <t>Işıl</t>
  </si>
  <si>
    <t>Güzel</t>
  </si>
  <si>
    <t>ZA-00105</t>
  </si>
  <si>
    <t>Yurdakök</t>
  </si>
  <si>
    <t>BU-00106</t>
  </si>
  <si>
    <t>Ergün</t>
  </si>
  <si>
    <t>ZE-00107</t>
  </si>
  <si>
    <t>Zeynep</t>
  </si>
  <si>
    <t>İK-00108</t>
  </si>
  <si>
    <t>İkram</t>
  </si>
  <si>
    <t>Şahin Duyar</t>
  </si>
  <si>
    <t>RE-00109</t>
  </si>
  <si>
    <t>Recep</t>
  </si>
  <si>
    <t>Gani Bektaş</t>
  </si>
  <si>
    <t>SA-00111</t>
  </si>
  <si>
    <t>Salih</t>
  </si>
  <si>
    <t>Cirit Koçer</t>
  </si>
  <si>
    <t>EB-00112</t>
  </si>
  <si>
    <t>Ebru</t>
  </si>
  <si>
    <t>Kayaoğlu</t>
  </si>
  <si>
    <t>SE-00113</t>
  </si>
  <si>
    <t>Seçkin</t>
  </si>
  <si>
    <t>Başman</t>
  </si>
  <si>
    <t>FE-00114</t>
  </si>
  <si>
    <t>Ferda</t>
  </si>
  <si>
    <t>Karacan</t>
  </si>
  <si>
    <t>PI-00115</t>
  </si>
  <si>
    <t>Pınar</t>
  </si>
  <si>
    <t>Altun</t>
  </si>
  <si>
    <t>Bİ-00117</t>
  </si>
  <si>
    <t>Birgül</t>
  </si>
  <si>
    <t>Öztürk</t>
  </si>
  <si>
    <t>AY-00118</t>
  </si>
  <si>
    <t>Ayşe</t>
  </si>
  <si>
    <t>Gül Karadeniz</t>
  </si>
  <si>
    <t>BU-00119</t>
  </si>
  <si>
    <t>Şentürk</t>
  </si>
  <si>
    <t>Nİ-00120</t>
  </si>
  <si>
    <t>Emlakçıoğlu</t>
  </si>
  <si>
    <t>Nİ-00122</t>
  </si>
  <si>
    <t>Nizamettin</t>
  </si>
  <si>
    <t>Karadağ Geçgel</t>
  </si>
  <si>
    <t>YA-00123</t>
  </si>
  <si>
    <t>Sarıca Darol</t>
  </si>
  <si>
    <t>AB-00124</t>
  </si>
  <si>
    <t>Abdullah</t>
  </si>
  <si>
    <t>Arif Atay</t>
  </si>
  <si>
    <t>AY-00125</t>
  </si>
  <si>
    <t>Öden</t>
  </si>
  <si>
    <t>LE-00126</t>
  </si>
  <si>
    <t>Levent</t>
  </si>
  <si>
    <t>Yavuz</t>
  </si>
  <si>
    <t>SE-00127</t>
  </si>
  <si>
    <t>Serhan</t>
  </si>
  <si>
    <t>Hodjaoglu</t>
  </si>
  <si>
    <t>Sipariş İptali</t>
  </si>
  <si>
    <t>Dİ-00129</t>
  </si>
  <si>
    <t>Dilara</t>
  </si>
  <si>
    <t>EM-00130</t>
  </si>
  <si>
    <t>Bayraktar</t>
  </si>
  <si>
    <t>ME-00131</t>
  </si>
  <si>
    <t>Mehmet</t>
  </si>
  <si>
    <t>Özer Çipe</t>
  </si>
  <si>
    <t>HA-00132</t>
  </si>
  <si>
    <t>Haluk</t>
  </si>
  <si>
    <t>Karatoprak</t>
  </si>
  <si>
    <t>ME-00133</t>
  </si>
  <si>
    <t>Taşar</t>
  </si>
  <si>
    <t>BU-00134</t>
  </si>
  <si>
    <t>Pişirgen</t>
  </si>
  <si>
    <t>ER-00135</t>
  </si>
  <si>
    <t>Erkan</t>
  </si>
  <si>
    <t>İL-00137</t>
  </si>
  <si>
    <t>İlhan</t>
  </si>
  <si>
    <t>Alkurt Kayıkçı</t>
  </si>
  <si>
    <t>TO-00138</t>
  </si>
  <si>
    <t>Tolunay</t>
  </si>
  <si>
    <t>Günbey</t>
  </si>
  <si>
    <t>AS-00139</t>
  </si>
  <si>
    <t>Asudan</t>
  </si>
  <si>
    <t>Tuğçe Öztürkeri</t>
  </si>
  <si>
    <t>ES-00140</t>
  </si>
  <si>
    <t>İbrahim Urfalı</t>
  </si>
  <si>
    <t>ZE-00141</t>
  </si>
  <si>
    <t>Zerin</t>
  </si>
  <si>
    <t>EN-00142</t>
  </si>
  <si>
    <t>Enver</t>
  </si>
  <si>
    <t>Özmen</t>
  </si>
  <si>
    <t>OK-00143</t>
  </si>
  <si>
    <t>Okan</t>
  </si>
  <si>
    <t>YA-00144</t>
  </si>
  <si>
    <t>Yasin</t>
  </si>
  <si>
    <t>Ertem</t>
  </si>
  <si>
    <t>KA-00145</t>
  </si>
  <si>
    <t>Kadir</t>
  </si>
  <si>
    <t>Demirtaş</t>
  </si>
  <si>
    <t>NU-00146</t>
  </si>
  <si>
    <t>Nurdan</t>
  </si>
  <si>
    <t>GA-00147</t>
  </si>
  <si>
    <t>Gamze</t>
  </si>
  <si>
    <t>Öğütmen Koç</t>
  </si>
  <si>
    <t>SE-00148</t>
  </si>
  <si>
    <t>Fazlı Alpsan Gökmen</t>
  </si>
  <si>
    <t>SE-00149</t>
  </si>
  <si>
    <t>Selma</t>
  </si>
  <si>
    <t>Sözen</t>
  </si>
  <si>
    <t>AD-00150</t>
  </si>
  <si>
    <t>Adem</t>
  </si>
  <si>
    <t>CE-00151</t>
  </si>
  <si>
    <t>Topaloğlu</t>
  </si>
  <si>
    <t>MU-00152</t>
  </si>
  <si>
    <t>Mukaddes</t>
  </si>
  <si>
    <t>ÖV-00153</t>
  </si>
  <si>
    <t>Övgü</t>
  </si>
  <si>
    <t>Anıl Sarı</t>
  </si>
  <si>
    <t>SE-00154</t>
  </si>
  <si>
    <t>Akdeniz</t>
  </si>
  <si>
    <t>BE-00155</t>
  </si>
  <si>
    <t>Berçem</t>
  </si>
  <si>
    <t>MU-00156</t>
  </si>
  <si>
    <t>Murat</t>
  </si>
  <si>
    <t>Dİ-00157</t>
  </si>
  <si>
    <t>Dinçer</t>
  </si>
  <si>
    <t>Aydın Gayretli Aydın</t>
  </si>
  <si>
    <t>ÖZ-00158</t>
  </si>
  <si>
    <t>Eser</t>
  </si>
  <si>
    <t>ER-00159</t>
  </si>
  <si>
    <t>Ergül</t>
  </si>
  <si>
    <t>Sanhal</t>
  </si>
  <si>
    <t>AL-00160</t>
  </si>
  <si>
    <t>Alevtina</t>
  </si>
  <si>
    <t>Altınboğa</t>
  </si>
  <si>
    <t>OS-00161</t>
  </si>
  <si>
    <t>Osman</t>
  </si>
  <si>
    <t>Ersegun Kişi</t>
  </si>
  <si>
    <t>MU-00162</t>
  </si>
  <si>
    <t>Kemal Ünsal</t>
  </si>
  <si>
    <t>MA-00163</t>
  </si>
  <si>
    <t>Mahmut</t>
  </si>
  <si>
    <t>Nuri Metineren</t>
  </si>
  <si>
    <t>HA-00164</t>
  </si>
  <si>
    <t>Kalem</t>
  </si>
  <si>
    <t>GÜ-00165</t>
  </si>
  <si>
    <t>Güneş</t>
  </si>
  <si>
    <t>Onar Şekerci</t>
  </si>
  <si>
    <t>MU-00166</t>
  </si>
  <si>
    <t>Fatih Bayraktaroğlu</t>
  </si>
  <si>
    <t>ES-00167</t>
  </si>
  <si>
    <t>Esra</t>
  </si>
  <si>
    <t>PI-00168</t>
  </si>
  <si>
    <t>Büyükcam</t>
  </si>
  <si>
    <t>ŞA-00169</t>
  </si>
  <si>
    <t>Şahabettin</t>
  </si>
  <si>
    <t>Kaba</t>
  </si>
  <si>
    <t>HÜ-00170</t>
  </si>
  <si>
    <t>Hüseyin</t>
  </si>
  <si>
    <t>Saf</t>
  </si>
  <si>
    <t>ÖM-00171</t>
  </si>
  <si>
    <t>Ömer</t>
  </si>
  <si>
    <t>EV-00172</t>
  </si>
  <si>
    <t>Evrim</t>
  </si>
  <si>
    <t>Değirmenci</t>
  </si>
  <si>
    <t>KÜ-00173</t>
  </si>
  <si>
    <t>Kürşat</t>
  </si>
  <si>
    <t>Akyol</t>
  </si>
  <si>
    <t>GÜ-00174</t>
  </si>
  <si>
    <t>Gülden</t>
  </si>
  <si>
    <t>Boduroğlu</t>
  </si>
  <si>
    <t>SE-00175</t>
  </si>
  <si>
    <t>SE-00176</t>
  </si>
  <si>
    <t>Sema</t>
  </si>
  <si>
    <t>Ak</t>
  </si>
  <si>
    <t>SE-00177</t>
  </si>
  <si>
    <t>Fazlı Çetin</t>
  </si>
  <si>
    <t>MA-00178</t>
  </si>
  <si>
    <t>Nuri Demirtaş</t>
  </si>
  <si>
    <t>AY-00179</t>
  </si>
  <si>
    <t>Nar</t>
  </si>
  <si>
    <t>Mİ-00180</t>
  </si>
  <si>
    <t>Mine</t>
  </si>
  <si>
    <t>Canacankatan</t>
  </si>
  <si>
    <t>CE-00181</t>
  </si>
  <si>
    <t>Ceyda</t>
  </si>
  <si>
    <t>Günay</t>
  </si>
  <si>
    <t>Sİ-00182</t>
  </si>
  <si>
    <t>Sinan</t>
  </si>
  <si>
    <t>Çay</t>
  </si>
  <si>
    <t>ER-00183</t>
  </si>
  <si>
    <t>Uzun</t>
  </si>
  <si>
    <t>ÖZ-00184</t>
  </si>
  <si>
    <t>Özgür</t>
  </si>
  <si>
    <t>VE-00185</t>
  </si>
  <si>
    <t>Eryavuz</t>
  </si>
  <si>
    <t>KE-00186</t>
  </si>
  <si>
    <t>Kenan</t>
  </si>
  <si>
    <t>Gülşan</t>
  </si>
  <si>
    <t>Nİ-00187</t>
  </si>
  <si>
    <t>Nihal</t>
  </si>
  <si>
    <t>Karakoyun</t>
  </si>
  <si>
    <t>ÖZ-00188</t>
  </si>
  <si>
    <t>Uysal</t>
  </si>
  <si>
    <t>HA-00189</t>
  </si>
  <si>
    <t>Haşim</t>
  </si>
  <si>
    <t>Onur Arga</t>
  </si>
  <si>
    <t>ER-00190</t>
  </si>
  <si>
    <t>Erdal</t>
  </si>
  <si>
    <t>Yurt</t>
  </si>
  <si>
    <t>AY-00191</t>
  </si>
  <si>
    <t>Aysel</t>
  </si>
  <si>
    <t>Çatak</t>
  </si>
  <si>
    <t>HA-00192</t>
  </si>
  <si>
    <t>Halil</t>
  </si>
  <si>
    <t>İbrahim Mercan</t>
  </si>
  <si>
    <t>GÜ-00193</t>
  </si>
  <si>
    <t>Korkmaz</t>
  </si>
  <si>
    <t>TU-00194</t>
  </si>
  <si>
    <t>Çetinkor</t>
  </si>
  <si>
    <t>MU-00195</t>
  </si>
  <si>
    <t>Mutlu</t>
  </si>
  <si>
    <t>Sayın</t>
  </si>
  <si>
    <t>ME-00196</t>
  </si>
  <si>
    <t>Reşit Yıldız</t>
  </si>
  <si>
    <t>İB-00197</t>
  </si>
  <si>
    <t>İbrahim</t>
  </si>
  <si>
    <t>Sari</t>
  </si>
  <si>
    <t>MA-00198</t>
  </si>
  <si>
    <t>UM-00199</t>
  </si>
  <si>
    <t>Seda Özen</t>
  </si>
  <si>
    <t>GÖ-00200</t>
  </si>
  <si>
    <t>Gökhan</t>
  </si>
  <si>
    <t>FA-00201</t>
  </si>
  <si>
    <t>Ergülü Eşmen</t>
  </si>
  <si>
    <t>NE-00202</t>
  </si>
  <si>
    <t>Neslihan</t>
  </si>
  <si>
    <t>Ünal</t>
  </si>
  <si>
    <t>MU-00203</t>
  </si>
  <si>
    <t>Zorlu Karayiğit</t>
  </si>
  <si>
    <t>ÖZ-00204</t>
  </si>
  <si>
    <t>Öznur</t>
  </si>
  <si>
    <t>ON-00205</t>
  </si>
  <si>
    <t>Onur</t>
  </si>
  <si>
    <t>Dumlu</t>
  </si>
  <si>
    <t>Mİ-00206</t>
  </si>
  <si>
    <t>Cansu Kartal</t>
  </si>
  <si>
    <t>MU-00207</t>
  </si>
  <si>
    <t>Şanlıkan</t>
  </si>
  <si>
    <t>İB-00208</t>
  </si>
  <si>
    <t>Asoğlu</t>
  </si>
  <si>
    <t>Bİ-00209</t>
  </si>
  <si>
    <t>Bilgin</t>
  </si>
  <si>
    <t>Türkay</t>
  </si>
  <si>
    <t>DE-00210</t>
  </si>
  <si>
    <t>Derviş</t>
  </si>
  <si>
    <t>TU-00211</t>
  </si>
  <si>
    <t>Genç Talas</t>
  </si>
  <si>
    <t>HA-00212</t>
  </si>
  <si>
    <t>Haççe</t>
  </si>
  <si>
    <t>ES-00213</t>
  </si>
  <si>
    <t>Eşkazan</t>
  </si>
  <si>
    <t>JA-00214</t>
  </si>
  <si>
    <t>Jale</t>
  </si>
  <si>
    <t>İK-00215</t>
  </si>
  <si>
    <t>İklil</t>
  </si>
  <si>
    <t>EL-00216</t>
  </si>
  <si>
    <t>Elif</t>
  </si>
  <si>
    <t>HA-00217</t>
  </si>
  <si>
    <t>Hayati</t>
  </si>
  <si>
    <t>Atay</t>
  </si>
  <si>
    <t>Bİ-00218</t>
  </si>
  <si>
    <t>Gündoğdu</t>
  </si>
  <si>
    <t>TE-00219</t>
  </si>
  <si>
    <t>Tevfik</t>
  </si>
  <si>
    <t>Özgün Çatak</t>
  </si>
  <si>
    <t>SE-00220</t>
  </si>
  <si>
    <t>Urfalı</t>
  </si>
  <si>
    <t>FA-00221</t>
  </si>
  <si>
    <t>PI-00222</t>
  </si>
  <si>
    <t>Balal</t>
  </si>
  <si>
    <t>ME-00223</t>
  </si>
  <si>
    <t>Hilmi Öğütmen Koç</t>
  </si>
  <si>
    <t>HA-00224</t>
  </si>
  <si>
    <t>Ünlü</t>
  </si>
  <si>
    <t>NU-00225</t>
  </si>
  <si>
    <t>Nuran</t>
  </si>
  <si>
    <t>Öziş</t>
  </si>
  <si>
    <t>MU-00226</t>
  </si>
  <si>
    <t>Fatih Dilli</t>
  </si>
  <si>
    <t>EL-00227</t>
  </si>
  <si>
    <t>AY-00228</t>
  </si>
  <si>
    <t>Merden</t>
  </si>
  <si>
    <t>EM-00229</t>
  </si>
  <si>
    <t>Emre</t>
  </si>
  <si>
    <t>Aksoy</t>
  </si>
  <si>
    <t>MA-00230</t>
  </si>
  <si>
    <t>Nuri Tavşan</t>
  </si>
  <si>
    <t>MÜ-00231</t>
  </si>
  <si>
    <t>Baloğlu</t>
  </si>
  <si>
    <t>FE-00232</t>
  </si>
  <si>
    <t>Ferhan</t>
  </si>
  <si>
    <t>İH-00233</t>
  </si>
  <si>
    <t>İhsan</t>
  </si>
  <si>
    <t>Evrenos</t>
  </si>
  <si>
    <t>NE-00234</t>
  </si>
  <si>
    <t>Nevriye</t>
  </si>
  <si>
    <t>Duman</t>
  </si>
  <si>
    <t>LA-00235</t>
  </si>
  <si>
    <t>Latife</t>
  </si>
  <si>
    <t>Havas</t>
  </si>
  <si>
    <t>AY-00236</t>
  </si>
  <si>
    <t>Akcan Paksoy</t>
  </si>
  <si>
    <t>ÖM-00237</t>
  </si>
  <si>
    <t>Dokumacıoğlu</t>
  </si>
  <si>
    <t>SE-00238</t>
  </si>
  <si>
    <t>Baygeldi</t>
  </si>
  <si>
    <t>AR-00239</t>
  </si>
  <si>
    <t>Arda</t>
  </si>
  <si>
    <t>EM-00240</t>
  </si>
  <si>
    <t>Ardıç</t>
  </si>
  <si>
    <t>Bİ-00241</t>
  </si>
  <si>
    <t>Koç</t>
  </si>
  <si>
    <t>ME-00242</t>
  </si>
  <si>
    <t>Burhan Olpak</t>
  </si>
  <si>
    <t>EM-00243</t>
  </si>
  <si>
    <t>Taşkıran</t>
  </si>
  <si>
    <t>ZE-00244</t>
  </si>
  <si>
    <t>Zehra</t>
  </si>
  <si>
    <t>Erdem</t>
  </si>
  <si>
    <t>AH-00245</t>
  </si>
  <si>
    <t>Ahmet</t>
  </si>
  <si>
    <t>Serkan Murt</t>
  </si>
  <si>
    <t>BE-00246</t>
  </si>
  <si>
    <t>Bengühan</t>
  </si>
  <si>
    <t>Siğa</t>
  </si>
  <si>
    <t>EL-00247</t>
  </si>
  <si>
    <t>Şaşmaz</t>
  </si>
  <si>
    <t>EM-00248</t>
  </si>
  <si>
    <t>Karacan Erşekerci</t>
  </si>
  <si>
    <t>Şİ-00249</t>
  </si>
  <si>
    <t>Şirin</t>
  </si>
  <si>
    <t>Olgaç</t>
  </si>
  <si>
    <t>MÜ-00250</t>
  </si>
  <si>
    <t>Aykan</t>
  </si>
  <si>
    <t>HA-00251</t>
  </si>
  <si>
    <t>Hasibe</t>
  </si>
  <si>
    <t>Sak</t>
  </si>
  <si>
    <t>AD-00252</t>
  </si>
  <si>
    <t>SO-00253</t>
  </si>
  <si>
    <t>Songül</t>
  </si>
  <si>
    <t>Kızanoğlu</t>
  </si>
  <si>
    <t>ER-00254</t>
  </si>
  <si>
    <t>Kanık Yüksek</t>
  </si>
  <si>
    <t>MA-00255</t>
  </si>
  <si>
    <t>Çakır</t>
  </si>
  <si>
    <t>EN-00256</t>
  </si>
  <si>
    <t>Ender</t>
  </si>
  <si>
    <t>İlkay</t>
  </si>
  <si>
    <t>MA-00257</t>
  </si>
  <si>
    <t>Özan Sanhal</t>
  </si>
  <si>
    <t>DE-00258</t>
  </si>
  <si>
    <t>Demet</t>
  </si>
  <si>
    <t>Toprak</t>
  </si>
  <si>
    <t>BE-00259</t>
  </si>
  <si>
    <t>Bedriye</t>
  </si>
  <si>
    <t>Müge Özcan</t>
  </si>
  <si>
    <t>BE-00260</t>
  </si>
  <si>
    <t>Betül</t>
  </si>
  <si>
    <t>BU-00261</t>
  </si>
  <si>
    <t>Burçin</t>
  </si>
  <si>
    <t>NE-00262</t>
  </si>
  <si>
    <t>Neşe</t>
  </si>
  <si>
    <t>Kurt</t>
  </si>
  <si>
    <t>PI-00263</t>
  </si>
  <si>
    <t>RA-00264</t>
  </si>
  <si>
    <t>TU-00265</t>
  </si>
  <si>
    <t>Orhon</t>
  </si>
  <si>
    <t>Nİ-00266</t>
  </si>
  <si>
    <t>AY-00267</t>
  </si>
  <si>
    <t>Aycan</t>
  </si>
  <si>
    <t>Özden Söker</t>
  </si>
  <si>
    <t>MU-00268</t>
  </si>
  <si>
    <t>ER-00269</t>
  </si>
  <si>
    <t>Şirzai</t>
  </si>
  <si>
    <t>VO-00270</t>
  </si>
  <si>
    <t>Volkan</t>
  </si>
  <si>
    <t>Akgül</t>
  </si>
  <si>
    <t>EM-00271</t>
  </si>
  <si>
    <t>Kemal Erdem</t>
  </si>
  <si>
    <t>DE-00272</t>
  </si>
  <si>
    <t>Derya</t>
  </si>
  <si>
    <t>Güvenç</t>
  </si>
  <si>
    <t>MU-00273</t>
  </si>
  <si>
    <t>SÜ-00274</t>
  </si>
  <si>
    <t>DE-00275</t>
  </si>
  <si>
    <t>Bolat</t>
  </si>
  <si>
    <t>UL-00276</t>
  </si>
  <si>
    <t>Ulaş</t>
  </si>
  <si>
    <t>Aslan</t>
  </si>
  <si>
    <t>GÜ-00277</t>
  </si>
  <si>
    <t>Gülsen</t>
  </si>
  <si>
    <t>Göksoy</t>
  </si>
  <si>
    <t>İB-00278</t>
  </si>
  <si>
    <t>Tayfun Urfalı</t>
  </si>
  <si>
    <t>İS-00279</t>
  </si>
  <si>
    <t>İsa</t>
  </si>
  <si>
    <t>DE-00280</t>
  </si>
  <si>
    <t>Gedik Yılmaz</t>
  </si>
  <si>
    <t>MA-00281</t>
  </si>
  <si>
    <t>Nuri Güngör</t>
  </si>
  <si>
    <t>TU-00282</t>
  </si>
  <si>
    <t>Soydan</t>
  </si>
  <si>
    <t>MÜ-00283</t>
  </si>
  <si>
    <t>Mücahit</t>
  </si>
  <si>
    <t>FA-00284</t>
  </si>
  <si>
    <t>Nazmi Eren</t>
  </si>
  <si>
    <t>ME-00285</t>
  </si>
  <si>
    <t>Küçükgöncü</t>
  </si>
  <si>
    <t>AY-00286</t>
  </si>
  <si>
    <t>Gül Hancıoğlu</t>
  </si>
  <si>
    <t>ÜN-00287</t>
  </si>
  <si>
    <t>Ünsal</t>
  </si>
  <si>
    <t>Önder Siviş</t>
  </si>
  <si>
    <t>SE-00288</t>
  </si>
  <si>
    <t>Yılmaz İnal</t>
  </si>
  <si>
    <t>FU-00289</t>
  </si>
  <si>
    <t>Fuat</t>
  </si>
  <si>
    <t>Öcalan</t>
  </si>
  <si>
    <t>MÜ-00290</t>
  </si>
  <si>
    <t>ME-00291</t>
  </si>
  <si>
    <t>Meltem</t>
  </si>
  <si>
    <t>Aksel</t>
  </si>
  <si>
    <t>Cİ-00292</t>
  </si>
  <si>
    <t>Cihan</t>
  </si>
  <si>
    <t>Karaköse</t>
  </si>
  <si>
    <t>EM-00293</t>
  </si>
  <si>
    <t>Hıdıroğlu</t>
  </si>
  <si>
    <t>BE-00294</t>
  </si>
  <si>
    <t>Bengü</t>
  </si>
  <si>
    <t>Demirhan</t>
  </si>
  <si>
    <t>İL-00295</t>
  </si>
  <si>
    <t>İlker</t>
  </si>
  <si>
    <t>Müezzinoğlu</t>
  </si>
  <si>
    <t>ER-00296</t>
  </si>
  <si>
    <t>NE-00297</t>
  </si>
  <si>
    <t>Nevroz</t>
  </si>
  <si>
    <t>Gerdan</t>
  </si>
  <si>
    <t>AY-00298</t>
  </si>
  <si>
    <t>MU-00299</t>
  </si>
  <si>
    <t>Kürşat Kaya</t>
  </si>
  <si>
    <t>FU-00300</t>
  </si>
  <si>
    <t>Funda</t>
  </si>
  <si>
    <t>ÜM-00301</t>
  </si>
  <si>
    <t>Ümit</t>
  </si>
  <si>
    <t>Özkurt</t>
  </si>
  <si>
    <t>Nİ-00302</t>
  </si>
  <si>
    <t>Kocakaya Altundal</t>
  </si>
  <si>
    <t>İB-00303</t>
  </si>
  <si>
    <t>Bİ-00304</t>
  </si>
  <si>
    <t>FU-00305</t>
  </si>
  <si>
    <t>Şeliman</t>
  </si>
  <si>
    <t>ME-00306</t>
  </si>
  <si>
    <t>Mesut</t>
  </si>
  <si>
    <t>Vural</t>
  </si>
  <si>
    <t>BU-00307</t>
  </si>
  <si>
    <t>Burak</t>
  </si>
  <si>
    <t>Gümüşay</t>
  </si>
  <si>
    <t>KE-00308</t>
  </si>
  <si>
    <t>Ahmet Küfeciler</t>
  </si>
  <si>
    <t>GÜ-00309</t>
  </si>
  <si>
    <t>Gülbahar</t>
  </si>
  <si>
    <t>Alay</t>
  </si>
  <si>
    <t>Sİ-00310</t>
  </si>
  <si>
    <t>Sibel</t>
  </si>
  <si>
    <t>SE-00311</t>
  </si>
  <si>
    <t>Büküm</t>
  </si>
  <si>
    <t>GÜ-00312</t>
  </si>
  <si>
    <t>Gülay</t>
  </si>
  <si>
    <t>AH-00313</t>
  </si>
  <si>
    <t>HA-00314</t>
  </si>
  <si>
    <t>JA-00315</t>
  </si>
  <si>
    <t>Karakuş</t>
  </si>
  <si>
    <t>SE-00316</t>
  </si>
  <si>
    <t>Ayhan</t>
  </si>
  <si>
    <t>MU-00317</t>
  </si>
  <si>
    <t>Nafiz Eren</t>
  </si>
  <si>
    <t>ÇE-00318</t>
  </si>
  <si>
    <t>Fİ-00319</t>
  </si>
  <si>
    <t>BE-00320</t>
  </si>
  <si>
    <t>Berfin</t>
  </si>
  <si>
    <t>Can Sürüm</t>
  </si>
  <si>
    <t>GÖ-00321</t>
  </si>
  <si>
    <t>Demirel</t>
  </si>
  <si>
    <t>EM-00322</t>
  </si>
  <si>
    <t>Kırış</t>
  </si>
  <si>
    <t>İB-00323</t>
  </si>
  <si>
    <t>Barış Yüzbaşıoğlu</t>
  </si>
  <si>
    <t>MU-00324</t>
  </si>
  <si>
    <t>FE-00325</t>
  </si>
  <si>
    <t>Feyza</t>
  </si>
  <si>
    <t>Yücel</t>
  </si>
  <si>
    <t>FA-00326</t>
  </si>
  <si>
    <t>Ece Biçer</t>
  </si>
  <si>
    <t>HA-00327</t>
  </si>
  <si>
    <t>IR-00328</t>
  </si>
  <si>
    <t>Irazca</t>
  </si>
  <si>
    <t>Tanrıverdi Yılmaz</t>
  </si>
  <si>
    <t>ME-00329</t>
  </si>
  <si>
    <t>Gökçe Gözcü</t>
  </si>
  <si>
    <t>OS-00330</t>
  </si>
  <si>
    <t>Ayas</t>
  </si>
  <si>
    <t>SE-00331</t>
  </si>
  <si>
    <t>Yazak</t>
  </si>
  <si>
    <t>ME-00332</t>
  </si>
  <si>
    <t>Şen Tanrıkulu</t>
  </si>
  <si>
    <t>İS-00333</t>
  </si>
  <si>
    <t>İsmail</t>
  </si>
  <si>
    <t>ON-00334</t>
  </si>
  <si>
    <t>Kadir Ergülü Eşmen</t>
  </si>
  <si>
    <t>AD-00335</t>
  </si>
  <si>
    <t>Babuş</t>
  </si>
  <si>
    <t>ZE-00336</t>
  </si>
  <si>
    <t>Gölemez</t>
  </si>
  <si>
    <t>GO-00337</t>
  </si>
  <si>
    <t>Gonca</t>
  </si>
  <si>
    <t>ÖZ-00338</t>
  </si>
  <si>
    <t>Adanır</t>
  </si>
  <si>
    <t>AH-00339</t>
  </si>
  <si>
    <t>Emre Bereket</t>
  </si>
  <si>
    <t>HÜ-00340</t>
  </si>
  <si>
    <t>Cahit Sezgin</t>
  </si>
  <si>
    <t>BE-00341</t>
  </si>
  <si>
    <t>Küfeciler</t>
  </si>
  <si>
    <t>SE-00342</t>
  </si>
  <si>
    <t>Semih</t>
  </si>
  <si>
    <t>Gerilmez</t>
  </si>
  <si>
    <t>EM-00343</t>
  </si>
  <si>
    <t>MU-00344</t>
  </si>
  <si>
    <t>Gürhan Yurt</t>
  </si>
  <si>
    <t>MU-00345</t>
  </si>
  <si>
    <t>Şatır Ertem</t>
  </si>
  <si>
    <t>MU-00346</t>
  </si>
  <si>
    <t>Murat Özkan</t>
  </si>
  <si>
    <t>AR-00347</t>
  </si>
  <si>
    <t>Arzu</t>
  </si>
  <si>
    <t>Yağcı</t>
  </si>
  <si>
    <t>GÜ-00348</t>
  </si>
  <si>
    <t>MÜ-00349</t>
  </si>
  <si>
    <t>Akbaş Öncel</t>
  </si>
  <si>
    <t>RE-00350</t>
  </si>
  <si>
    <t>Reşat</t>
  </si>
  <si>
    <t>SA-00351</t>
  </si>
  <si>
    <t>Saliha</t>
  </si>
  <si>
    <t>Akkaya</t>
  </si>
  <si>
    <t>MÜ-00352</t>
  </si>
  <si>
    <t>Mümüne</t>
  </si>
  <si>
    <t>Saraçoğlu Çekiç</t>
  </si>
  <si>
    <t>KA-00353</t>
  </si>
  <si>
    <t>Kalender</t>
  </si>
  <si>
    <t>Yarar</t>
  </si>
  <si>
    <t>UT-00354</t>
  </si>
  <si>
    <t>Utku</t>
  </si>
  <si>
    <t>SE-00355</t>
  </si>
  <si>
    <t>Bİ-00356</t>
  </si>
  <si>
    <t>Bilge</t>
  </si>
  <si>
    <t>Akın</t>
  </si>
  <si>
    <t>TU-00357</t>
  </si>
  <si>
    <t>Yegen Yılmaz</t>
  </si>
  <si>
    <t>ER-00358</t>
  </si>
  <si>
    <t>Eray</t>
  </si>
  <si>
    <t>Cılız Basheer</t>
  </si>
  <si>
    <t>AL-00359</t>
  </si>
  <si>
    <t>Ali</t>
  </si>
  <si>
    <t>AY-00360</t>
  </si>
  <si>
    <t>Aykut</t>
  </si>
  <si>
    <t>KÜ-00361</t>
  </si>
  <si>
    <t>Kireççi</t>
  </si>
  <si>
    <t>MÜ-00362</t>
  </si>
  <si>
    <t>Destegül</t>
  </si>
  <si>
    <t>ME-00363</t>
  </si>
  <si>
    <t>GÖ-00364</t>
  </si>
  <si>
    <t>Gökay</t>
  </si>
  <si>
    <t>Genç</t>
  </si>
  <si>
    <t>ZE-00365</t>
  </si>
  <si>
    <t>Uygur</t>
  </si>
  <si>
    <t>TU-00366</t>
  </si>
  <si>
    <t>Tuğsem</t>
  </si>
  <si>
    <t>İçbay</t>
  </si>
  <si>
    <t>İL-00367</t>
  </si>
  <si>
    <t>EV-00368</t>
  </si>
  <si>
    <t>FA-00369</t>
  </si>
  <si>
    <t>Faruk</t>
  </si>
  <si>
    <t>Köroğlu</t>
  </si>
  <si>
    <t>TÜ-00370</t>
  </si>
  <si>
    <t>Tümay</t>
  </si>
  <si>
    <t>ES-00371</t>
  </si>
  <si>
    <t>Nur Akçalı</t>
  </si>
  <si>
    <t>SI-00372</t>
  </si>
  <si>
    <t>Sıdıka</t>
  </si>
  <si>
    <t>ME-00373</t>
  </si>
  <si>
    <t>Celtemen</t>
  </si>
  <si>
    <t>TA-00374</t>
  </si>
  <si>
    <t>Tarkan</t>
  </si>
  <si>
    <t>Öven Ustaalioğlu</t>
  </si>
  <si>
    <t>NU-00375</t>
  </si>
  <si>
    <t>Arslan Kaşdoğan</t>
  </si>
  <si>
    <t>HA-00376</t>
  </si>
  <si>
    <t>Yeniçeri</t>
  </si>
  <si>
    <t>KE-00377</t>
  </si>
  <si>
    <t>Kerim</t>
  </si>
  <si>
    <t>GÖ-00378</t>
  </si>
  <si>
    <t>Gürel</t>
  </si>
  <si>
    <t>SE-00379</t>
  </si>
  <si>
    <t>Seyhan</t>
  </si>
  <si>
    <t>Mumcuoğlu</t>
  </si>
  <si>
    <t>Dİ-00380</t>
  </si>
  <si>
    <t>Diana</t>
  </si>
  <si>
    <t>Fİ-00381</t>
  </si>
  <si>
    <t>Güler</t>
  </si>
  <si>
    <t>YÜ-00382</t>
  </si>
  <si>
    <t>EV-00383</t>
  </si>
  <si>
    <t>Göncü</t>
  </si>
  <si>
    <t>AL-00384</t>
  </si>
  <si>
    <t>Akbulut</t>
  </si>
  <si>
    <t>FA-00385</t>
  </si>
  <si>
    <t>Büyüktaş</t>
  </si>
  <si>
    <t>ER-00386</t>
  </si>
  <si>
    <t>Gül</t>
  </si>
  <si>
    <t>ÖM-00387</t>
  </si>
  <si>
    <t>Faruk Akşahin</t>
  </si>
  <si>
    <t>ÖZ-00388</t>
  </si>
  <si>
    <t>Özcan</t>
  </si>
  <si>
    <t>Kutluyurdu</t>
  </si>
  <si>
    <t>AH-00389</t>
  </si>
  <si>
    <t>SE-00390</t>
  </si>
  <si>
    <t>İB-00391</t>
  </si>
  <si>
    <t>Mesci Haftacı</t>
  </si>
  <si>
    <t>GÜ-00392</t>
  </si>
  <si>
    <t>Gülhanım</t>
  </si>
  <si>
    <t>İL-00393</t>
  </si>
  <si>
    <t>Yanni</t>
  </si>
  <si>
    <t>RE-00394</t>
  </si>
  <si>
    <t>Rezan</t>
  </si>
  <si>
    <t>Cengiz</t>
  </si>
  <si>
    <t>CE-00395</t>
  </si>
  <si>
    <t>Yaşar Ercan</t>
  </si>
  <si>
    <t>MU-00396</t>
  </si>
  <si>
    <t>Atlanoğlu</t>
  </si>
  <si>
    <t>AH-00397</t>
  </si>
  <si>
    <t>Dökmeci</t>
  </si>
  <si>
    <t>YA-00398</t>
  </si>
  <si>
    <t>Sağlam</t>
  </si>
  <si>
    <t>ER-00399</t>
  </si>
  <si>
    <t>Durç Öztürk</t>
  </si>
  <si>
    <t>FA-00400</t>
  </si>
  <si>
    <t>Bozkurt</t>
  </si>
  <si>
    <t>AT-00401</t>
  </si>
  <si>
    <t>Atilla</t>
  </si>
  <si>
    <t>Demir</t>
  </si>
  <si>
    <t>ME-00402</t>
  </si>
  <si>
    <t>Asena</t>
  </si>
  <si>
    <t>SE-00403</t>
  </si>
  <si>
    <t>Semra</t>
  </si>
  <si>
    <t>Pekgöz</t>
  </si>
  <si>
    <t>SE-00404</t>
  </si>
  <si>
    <t>Sedat</t>
  </si>
  <si>
    <t>SE-00405</t>
  </si>
  <si>
    <t>Sezgi</t>
  </si>
  <si>
    <t>ME-00406</t>
  </si>
  <si>
    <t>SE-00407</t>
  </si>
  <si>
    <t>Çipe</t>
  </si>
  <si>
    <t>ZA-00408</t>
  </si>
  <si>
    <t>MU-00409</t>
  </si>
  <si>
    <t>Tayyip Özekli Mısırlıoğlu</t>
  </si>
  <si>
    <t>ME-00410</t>
  </si>
  <si>
    <t>Köseoğlu</t>
  </si>
  <si>
    <t>MU-00411</t>
  </si>
  <si>
    <t>ME-00412</t>
  </si>
  <si>
    <t>Mediha</t>
  </si>
  <si>
    <t>Al</t>
  </si>
  <si>
    <t>FA-00413</t>
  </si>
  <si>
    <t>Fadıl</t>
  </si>
  <si>
    <t>Yıldız Altun</t>
  </si>
  <si>
    <t>ÇE-00414</t>
  </si>
  <si>
    <t>Serin</t>
  </si>
  <si>
    <t>AY-00415</t>
  </si>
  <si>
    <t>NE-00416</t>
  </si>
  <si>
    <t>CA-00417</t>
  </si>
  <si>
    <t>Cansu</t>
  </si>
  <si>
    <t>Selcan Akpınar</t>
  </si>
  <si>
    <t>DU-00418</t>
  </si>
  <si>
    <t>Duçem</t>
  </si>
  <si>
    <t>Karpuz</t>
  </si>
  <si>
    <t>YE-00419</t>
  </si>
  <si>
    <t>Yener</t>
  </si>
  <si>
    <t>HA-00420</t>
  </si>
  <si>
    <t>Sami Yumurtaş</t>
  </si>
  <si>
    <t>ES-00421</t>
  </si>
  <si>
    <t>Esin</t>
  </si>
  <si>
    <t>Seren Kartal</t>
  </si>
  <si>
    <t>NU-00422</t>
  </si>
  <si>
    <t>Nuh</t>
  </si>
  <si>
    <t>Bakan</t>
  </si>
  <si>
    <t>PI-00423</t>
  </si>
  <si>
    <t>GA-00424</t>
  </si>
  <si>
    <t>Çağıl</t>
  </si>
  <si>
    <t>MU-00425</t>
  </si>
  <si>
    <t>Gazeteci Tekin</t>
  </si>
  <si>
    <t>AD-00426</t>
  </si>
  <si>
    <t>ES-00427</t>
  </si>
  <si>
    <t>Seren Saral</t>
  </si>
  <si>
    <t>ÖZ-00428</t>
  </si>
  <si>
    <t>Nİ-00429</t>
  </si>
  <si>
    <t>Nilüfer</t>
  </si>
  <si>
    <t>ER-00430</t>
  </si>
  <si>
    <t>Ergöz</t>
  </si>
  <si>
    <t>MU-00431</t>
  </si>
  <si>
    <t>Kürşat Göksel</t>
  </si>
  <si>
    <t>GÜ-00432</t>
  </si>
  <si>
    <t>RA-00433</t>
  </si>
  <si>
    <t>Raşan</t>
  </si>
  <si>
    <t>Su Kurt</t>
  </si>
  <si>
    <t>CE-00434</t>
  </si>
  <si>
    <t>ME-00435</t>
  </si>
  <si>
    <t>Metin</t>
  </si>
  <si>
    <t>AZ-00436</t>
  </si>
  <si>
    <t>Aziz</t>
  </si>
  <si>
    <t>Dİ-00437</t>
  </si>
  <si>
    <t>Didem</t>
  </si>
  <si>
    <t>Canbaz</t>
  </si>
  <si>
    <t>EB-00438</t>
  </si>
  <si>
    <t>ER-00439</t>
  </si>
  <si>
    <t>Tutaş</t>
  </si>
  <si>
    <t>Sİ-00440</t>
  </si>
  <si>
    <t>Ulutaş</t>
  </si>
  <si>
    <t>HÜ-00441</t>
  </si>
  <si>
    <t>Hümeyra</t>
  </si>
  <si>
    <t>Barçak</t>
  </si>
  <si>
    <t>MA-00442</t>
  </si>
  <si>
    <t>AT-00443</t>
  </si>
  <si>
    <t>Atakan</t>
  </si>
  <si>
    <t>BE-00444</t>
  </si>
  <si>
    <t>Tüfenk</t>
  </si>
  <si>
    <t>ÖZ-00445</t>
  </si>
  <si>
    <t>Özer</t>
  </si>
  <si>
    <t>AR-00446</t>
  </si>
  <si>
    <t>Arif</t>
  </si>
  <si>
    <t>Merhametsiz</t>
  </si>
  <si>
    <t>CE-00447</t>
  </si>
  <si>
    <t>ME-00448</t>
  </si>
  <si>
    <t>Hilmi Yıldırım</t>
  </si>
  <si>
    <t>MA-00449</t>
  </si>
  <si>
    <t>Mahperi</t>
  </si>
  <si>
    <t>GÜ-00450</t>
  </si>
  <si>
    <t>Gülçin</t>
  </si>
  <si>
    <t>AH-00451</t>
  </si>
  <si>
    <t>MÜ-00452</t>
  </si>
  <si>
    <t>Mümtaz</t>
  </si>
  <si>
    <t>Aslankara</t>
  </si>
  <si>
    <t>AR-00453</t>
  </si>
  <si>
    <t>UL-00454</t>
  </si>
  <si>
    <t>HA-00455</t>
  </si>
  <si>
    <t>Onur Uyğun</t>
  </si>
  <si>
    <t>BU-00456</t>
  </si>
  <si>
    <t>Gürakan</t>
  </si>
  <si>
    <t>GÜ-00457</t>
  </si>
  <si>
    <t>Gültekin</t>
  </si>
  <si>
    <t>Günhan Kurt</t>
  </si>
  <si>
    <t>NA-00458</t>
  </si>
  <si>
    <t>Nalan</t>
  </si>
  <si>
    <t>Gökalp</t>
  </si>
  <si>
    <t>AH-00459</t>
  </si>
  <si>
    <t>Koçar</t>
  </si>
  <si>
    <t>DO-00460</t>
  </si>
  <si>
    <t>Zİ-00461</t>
  </si>
  <si>
    <t>Ziya</t>
  </si>
  <si>
    <t>Arıkan Yorgun</t>
  </si>
  <si>
    <t>HA-00462</t>
  </si>
  <si>
    <t>Handan</t>
  </si>
  <si>
    <t>Yakar</t>
  </si>
  <si>
    <t>MU-00463</t>
  </si>
  <si>
    <t>Muhlis</t>
  </si>
  <si>
    <t>Dede</t>
  </si>
  <si>
    <t>UF-00464</t>
  </si>
  <si>
    <t>Ufuk</t>
  </si>
  <si>
    <t>AY-00465</t>
  </si>
  <si>
    <t>Ayşegül</t>
  </si>
  <si>
    <t>AY-00466</t>
  </si>
  <si>
    <t>HA-00467</t>
  </si>
  <si>
    <t>Rİ-00468</t>
  </si>
  <si>
    <t>Rifat</t>
  </si>
  <si>
    <t>Can Akıncı</t>
  </si>
  <si>
    <t>TÜ-00469</t>
  </si>
  <si>
    <t>Kanyılmaz</t>
  </si>
  <si>
    <t>FE-00470</t>
  </si>
  <si>
    <t>Ferdi</t>
  </si>
  <si>
    <t>Eroğlu</t>
  </si>
  <si>
    <t>ÖZ-00471</t>
  </si>
  <si>
    <t>SE-00472</t>
  </si>
  <si>
    <t>FE-00473</t>
  </si>
  <si>
    <t>MU-00474</t>
  </si>
  <si>
    <t>Gürhan Dal</t>
  </si>
  <si>
    <t>TA-00475</t>
  </si>
  <si>
    <t>Taylan</t>
  </si>
  <si>
    <t>Cömert</t>
  </si>
  <si>
    <t>BE-00476</t>
  </si>
  <si>
    <t>ME-00477</t>
  </si>
  <si>
    <t>MA-00478</t>
  </si>
  <si>
    <t>Esat Topkara</t>
  </si>
  <si>
    <t>ÜM-00479</t>
  </si>
  <si>
    <t>ME-00480</t>
  </si>
  <si>
    <t>OS-00481</t>
  </si>
  <si>
    <t>Ersegun Koç</t>
  </si>
  <si>
    <t>CU-00482</t>
  </si>
  <si>
    <t>Cumhur</t>
  </si>
  <si>
    <t>SÜ-00483</t>
  </si>
  <si>
    <t>Nİ-00484</t>
  </si>
  <si>
    <t>EM-00485</t>
  </si>
  <si>
    <t>Kurtuluş</t>
  </si>
  <si>
    <t>EL-00486</t>
  </si>
  <si>
    <t>SE-00487</t>
  </si>
  <si>
    <t>Selami</t>
  </si>
  <si>
    <t>NE-00488</t>
  </si>
  <si>
    <t>Hancıoğlu</t>
  </si>
  <si>
    <t>EN-00489</t>
  </si>
  <si>
    <t>SA-00490</t>
  </si>
  <si>
    <t>Sabahattin</t>
  </si>
  <si>
    <t>Şener</t>
  </si>
  <si>
    <t>SE-00491</t>
  </si>
  <si>
    <t>Büber</t>
  </si>
  <si>
    <t>ME-00492</t>
  </si>
  <si>
    <t>Halhallı</t>
  </si>
  <si>
    <t>SE-00493</t>
  </si>
  <si>
    <t>Altuntaş</t>
  </si>
  <si>
    <t>LE-00494</t>
  </si>
  <si>
    <t>Koçarslan</t>
  </si>
  <si>
    <t>SA-00495</t>
  </si>
  <si>
    <t>ME-00496</t>
  </si>
  <si>
    <t>Hale Gülen</t>
  </si>
  <si>
    <t>Şİ-00497</t>
  </si>
  <si>
    <t>Talan</t>
  </si>
  <si>
    <t>AS-00498</t>
  </si>
  <si>
    <t>Aslı</t>
  </si>
  <si>
    <t>YU-00499</t>
  </si>
  <si>
    <t>Kenan Ertekin</t>
  </si>
  <si>
    <t>Nİ-00500</t>
  </si>
  <si>
    <t>Söker</t>
  </si>
  <si>
    <t>SA-00501</t>
  </si>
  <si>
    <t>Samet</t>
  </si>
  <si>
    <t>Yüce</t>
  </si>
  <si>
    <t>SÜ-00502</t>
  </si>
  <si>
    <t>GÜ-00503</t>
  </si>
  <si>
    <t>SE-00504</t>
  </si>
  <si>
    <t>Seher</t>
  </si>
  <si>
    <t>Özlem Ünüş</t>
  </si>
  <si>
    <t>ÖZ-00505</t>
  </si>
  <si>
    <t>AL-00506</t>
  </si>
  <si>
    <t>SE-00507</t>
  </si>
  <si>
    <t>Seyfi</t>
  </si>
  <si>
    <t>Cem Eren</t>
  </si>
  <si>
    <t>Dİ-00508</t>
  </si>
  <si>
    <t>Çildir</t>
  </si>
  <si>
    <t>SA-00509</t>
  </si>
  <si>
    <t>Savaş</t>
  </si>
  <si>
    <t>ÇE-00510</t>
  </si>
  <si>
    <t>BA-00511</t>
  </si>
  <si>
    <t>Başak</t>
  </si>
  <si>
    <t>Ocak</t>
  </si>
  <si>
    <t>ÖZ-00512</t>
  </si>
  <si>
    <t>Özhan</t>
  </si>
  <si>
    <t>AY-00513</t>
  </si>
  <si>
    <t>AD-00514</t>
  </si>
  <si>
    <t>YE-00515</t>
  </si>
  <si>
    <t>Yeliz</t>
  </si>
  <si>
    <t>PA-00516</t>
  </si>
  <si>
    <t>Papatya</t>
  </si>
  <si>
    <t>ME-00517</t>
  </si>
  <si>
    <t>Arifoğlu</t>
  </si>
  <si>
    <t>BU-00518</t>
  </si>
  <si>
    <t>Sevingil</t>
  </si>
  <si>
    <t>AH-00519</t>
  </si>
  <si>
    <t>Önvermez</t>
  </si>
  <si>
    <t>AZ-00520</t>
  </si>
  <si>
    <t>Atik</t>
  </si>
  <si>
    <t>NU-00521</t>
  </si>
  <si>
    <t>Olpak</t>
  </si>
  <si>
    <t>DE-00522</t>
  </si>
  <si>
    <t>Ak Yıldırım</t>
  </si>
  <si>
    <t>BA-00523</t>
  </si>
  <si>
    <t>BA-00524</t>
  </si>
  <si>
    <t>Kumral</t>
  </si>
  <si>
    <t>YU-00525</t>
  </si>
  <si>
    <t>Kenan Günay</t>
  </si>
  <si>
    <t>BA-00526</t>
  </si>
  <si>
    <t>Topal</t>
  </si>
  <si>
    <t>EM-00527</t>
  </si>
  <si>
    <t>Demiröz</t>
  </si>
  <si>
    <t>TA-00528</t>
  </si>
  <si>
    <t>Tansu</t>
  </si>
  <si>
    <t>HA-00529</t>
  </si>
  <si>
    <t>Bİ-00530</t>
  </si>
  <si>
    <t>Tülüce</t>
  </si>
  <si>
    <t>SE-00531</t>
  </si>
  <si>
    <t>Özateş</t>
  </si>
  <si>
    <t>SE-00532</t>
  </si>
  <si>
    <t>HA-00533</t>
  </si>
  <si>
    <t>Fİ-00534</t>
  </si>
  <si>
    <t>İL-00535</t>
  </si>
  <si>
    <t>HA-00536</t>
  </si>
  <si>
    <t>Hayri</t>
  </si>
  <si>
    <t>SE-00537</t>
  </si>
  <si>
    <t>Selçuk</t>
  </si>
  <si>
    <t>Beyoğlu</t>
  </si>
  <si>
    <t>NU-00538</t>
  </si>
  <si>
    <t>Yurtlu</t>
  </si>
  <si>
    <t>NU-00539</t>
  </si>
  <si>
    <t>Bölük</t>
  </si>
  <si>
    <t>SE-00540</t>
  </si>
  <si>
    <t>RA-00541</t>
  </si>
  <si>
    <t>Rabia</t>
  </si>
  <si>
    <t>ON-00542</t>
  </si>
  <si>
    <t>Kadir Köşker</t>
  </si>
  <si>
    <t>MU-00543</t>
  </si>
  <si>
    <t>Devran Alay</t>
  </si>
  <si>
    <t>OS-00544</t>
  </si>
  <si>
    <t>Ersegun Karadağ Geçgel</t>
  </si>
  <si>
    <t>İS-00545</t>
  </si>
  <si>
    <t>Özalp</t>
  </si>
  <si>
    <t>DU-00546</t>
  </si>
  <si>
    <t>Akdemir</t>
  </si>
  <si>
    <t>FU-00547</t>
  </si>
  <si>
    <t>AY-00548</t>
  </si>
  <si>
    <t>Gül Sorgun Evcili</t>
  </si>
  <si>
    <t>HA-00549</t>
  </si>
  <si>
    <t>MU-00550</t>
  </si>
  <si>
    <t>Ferhat Ekici</t>
  </si>
  <si>
    <t>MU-00551</t>
  </si>
  <si>
    <t>Tayyip Arslan</t>
  </si>
  <si>
    <t>İL-00552</t>
  </si>
  <si>
    <t>AL-00553</t>
  </si>
  <si>
    <t>Almala</t>
  </si>
  <si>
    <t>Pınar Hıdıroğlu</t>
  </si>
  <si>
    <t>BE-00554</t>
  </si>
  <si>
    <t>Berna</t>
  </si>
  <si>
    <t>HA-00555</t>
  </si>
  <si>
    <t>NU-00556</t>
  </si>
  <si>
    <t>Sever</t>
  </si>
  <si>
    <t>TU-00557</t>
  </si>
  <si>
    <t>ME-00558</t>
  </si>
  <si>
    <t>DE-00559</t>
  </si>
  <si>
    <t>Deniz</t>
  </si>
  <si>
    <t>AY-00560</t>
  </si>
  <si>
    <t>Şahin</t>
  </si>
  <si>
    <t>HA-00561</t>
  </si>
  <si>
    <t>Fİ-00562</t>
  </si>
  <si>
    <t>Karagöz</t>
  </si>
  <si>
    <t>EN-00563</t>
  </si>
  <si>
    <t>Engin</t>
  </si>
  <si>
    <t>Düger</t>
  </si>
  <si>
    <t>HA-00564</t>
  </si>
  <si>
    <t>Kayacan</t>
  </si>
  <si>
    <t>MA-00565</t>
  </si>
  <si>
    <t>HA-00566</t>
  </si>
  <si>
    <t>Hatun</t>
  </si>
  <si>
    <t>Arslan</t>
  </si>
  <si>
    <t>BA-00567</t>
  </si>
  <si>
    <t>Bahadır</t>
  </si>
  <si>
    <t>Özdoğan</t>
  </si>
  <si>
    <t>SE-00568</t>
  </si>
  <si>
    <t>Burkay Karahan</t>
  </si>
  <si>
    <t>FE-00569</t>
  </si>
  <si>
    <t>SE-00570</t>
  </si>
  <si>
    <t>Güngör</t>
  </si>
  <si>
    <t>İS-00571</t>
  </si>
  <si>
    <t>Cindemir</t>
  </si>
  <si>
    <t>AB-00572</t>
  </si>
  <si>
    <t>Arif Karslı</t>
  </si>
  <si>
    <t>NU-00573</t>
  </si>
  <si>
    <t>Nursel</t>
  </si>
  <si>
    <t>SE-00574</t>
  </si>
  <si>
    <t>Elçim Belgemen</t>
  </si>
  <si>
    <t>TÜ-00575</t>
  </si>
  <si>
    <t>Danışoğlu</t>
  </si>
  <si>
    <t>MU-00576</t>
  </si>
  <si>
    <t>PI-00577</t>
  </si>
  <si>
    <t>DU-00578</t>
  </si>
  <si>
    <t>Duygu</t>
  </si>
  <si>
    <t>ME-00579</t>
  </si>
  <si>
    <t>Reşit Tay</t>
  </si>
  <si>
    <t>ÖZ-00580</t>
  </si>
  <si>
    <t>Bozoğlan</t>
  </si>
  <si>
    <t>ZA-00581</t>
  </si>
  <si>
    <t>Mİ-00582</t>
  </si>
  <si>
    <t>Öz</t>
  </si>
  <si>
    <t>ZÜ-00583</t>
  </si>
  <si>
    <t>Zühal</t>
  </si>
  <si>
    <t>Gülsüm Uğuz</t>
  </si>
  <si>
    <t>MU-00584</t>
  </si>
  <si>
    <t>Mumun</t>
  </si>
  <si>
    <t>Ünüş</t>
  </si>
  <si>
    <t>ER-00585</t>
  </si>
  <si>
    <t>Kızmaz</t>
  </si>
  <si>
    <t>ME-00586</t>
  </si>
  <si>
    <t>EM-00587</t>
  </si>
  <si>
    <t>AY-00588</t>
  </si>
  <si>
    <t>Ayşen</t>
  </si>
  <si>
    <t>Nİ-00589</t>
  </si>
  <si>
    <t>HÜ-00590</t>
  </si>
  <si>
    <t>NU-00591</t>
  </si>
  <si>
    <t>ZE-00592</t>
  </si>
  <si>
    <t>Bozkurter</t>
  </si>
  <si>
    <t>Nİ-00593</t>
  </si>
  <si>
    <t>Nurçin</t>
  </si>
  <si>
    <t>ER-00594</t>
  </si>
  <si>
    <t>Altuna</t>
  </si>
  <si>
    <t>Mİ-00595</t>
  </si>
  <si>
    <t>Miray</t>
  </si>
  <si>
    <t>Alabalık</t>
  </si>
  <si>
    <t>SE-00596</t>
  </si>
  <si>
    <t>CE-00597</t>
  </si>
  <si>
    <t>Cenk</t>
  </si>
  <si>
    <t>Kızmazoğlu</t>
  </si>
  <si>
    <t>EB-00598</t>
  </si>
  <si>
    <t>MU-00599</t>
  </si>
  <si>
    <t>Murat Alpınar</t>
  </si>
  <si>
    <t>SE-00600</t>
  </si>
  <si>
    <t>Tavşan</t>
  </si>
  <si>
    <t>FE-00601</t>
  </si>
  <si>
    <t>Atbinici</t>
  </si>
  <si>
    <t>ÖZ-00602</t>
  </si>
  <si>
    <t>ER-00603</t>
  </si>
  <si>
    <t>Almacıoğlu</t>
  </si>
  <si>
    <t>SE-00604</t>
  </si>
  <si>
    <t>Uyanık</t>
  </si>
  <si>
    <t>ÜN-00605</t>
  </si>
  <si>
    <t>Alıcı</t>
  </si>
  <si>
    <t>AY-00606</t>
  </si>
  <si>
    <t>HA-00607</t>
  </si>
  <si>
    <t>FU-00608</t>
  </si>
  <si>
    <t>Özlem Ayhan</t>
  </si>
  <si>
    <t>BU-00609</t>
  </si>
  <si>
    <t>TA-00610</t>
  </si>
  <si>
    <t>SU-00611</t>
  </si>
  <si>
    <t>Suna</t>
  </si>
  <si>
    <t>Yiğit</t>
  </si>
  <si>
    <t>YA-00612</t>
  </si>
  <si>
    <t>Çekiç</t>
  </si>
  <si>
    <t>İL-00613</t>
  </si>
  <si>
    <t>İK-00614</t>
  </si>
  <si>
    <t>AY-00615</t>
  </si>
  <si>
    <t>SE-00616</t>
  </si>
  <si>
    <t>Fazlı Dede</t>
  </si>
  <si>
    <t>ME-00617</t>
  </si>
  <si>
    <t>Reşit Uzun</t>
  </si>
  <si>
    <t>AH-00618</t>
  </si>
  <si>
    <t>Demirkol</t>
  </si>
  <si>
    <t>RE-00619</t>
  </si>
  <si>
    <t>Reyhan</t>
  </si>
  <si>
    <t>İnci Kenar</t>
  </si>
  <si>
    <t>BE-00620</t>
  </si>
  <si>
    <t>Atmış</t>
  </si>
  <si>
    <t>ÜL-00621</t>
  </si>
  <si>
    <t>NU-00622</t>
  </si>
  <si>
    <t>Nİ-00623</t>
  </si>
  <si>
    <t>Gök</t>
  </si>
  <si>
    <t>UF-00624</t>
  </si>
  <si>
    <t>Işıkalan</t>
  </si>
  <si>
    <t>YA-00625</t>
  </si>
  <si>
    <t>ŞÜ-00626</t>
  </si>
  <si>
    <t>Şükrü</t>
  </si>
  <si>
    <t>Buğrul</t>
  </si>
  <si>
    <t>TU-00627</t>
  </si>
  <si>
    <t>Turgay</t>
  </si>
  <si>
    <t>Yılmaz Şahin</t>
  </si>
  <si>
    <t>KÜ-00628</t>
  </si>
  <si>
    <t>Kübra</t>
  </si>
  <si>
    <t>Kocabaş</t>
  </si>
  <si>
    <t>DE-00629</t>
  </si>
  <si>
    <t>Toktaş</t>
  </si>
  <si>
    <t>ŞE-00630</t>
  </si>
  <si>
    <t>Şeyma</t>
  </si>
  <si>
    <t>Kebapcılar</t>
  </si>
  <si>
    <t>FA-00631</t>
  </si>
  <si>
    <t>Hİ-00632</t>
  </si>
  <si>
    <t>Hicran</t>
  </si>
  <si>
    <t>Ertürkler</t>
  </si>
  <si>
    <t>CA-00633</t>
  </si>
  <si>
    <t>Selcan Güzel</t>
  </si>
  <si>
    <t>SU-00634</t>
  </si>
  <si>
    <t>Çobanyıldızı</t>
  </si>
  <si>
    <t>ES-00635</t>
  </si>
  <si>
    <t>İbrahim Özen</t>
  </si>
  <si>
    <t>BE-00636</t>
  </si>
  <si>
    <t>Özkan</t>
  </si>
  <si>
    <t>Dİ-00637</t>
  </si>
  <si>
    <t>ŞA-00638</t>
  </si>
  <si>
    <t>MU-00639</t>
  </si>
  <si>
    <t>SE-00640</t>
  </si>
  <si>
    <t>Ay Güney</t>
  </si>
  <si>
    <t>EM-00641</t>
  </si>
  <si>
    <t>AL-00642</t>
  </si>
  <si>
    <t>Candan</t>
  </si>
  <si>
    <t>HA-00643</t>
  </si>
  <si>
    <t>TU-00644</t>
  </si>
  <si>
    <t>ZA-00645</t>
  </si>
  <si>
    <t>Balcı</t>
  </si>
  <si>
    <t>FA-00646</t>
  </si>
  <si>
    <t>AB-00647</t>
  </si>
  <si>
    <t>Abdulkadir</t>
  </si>
  <si>
    <t>FU-00648</t>
  </si>
  <si>
    <t>Fulya</t>
  </si>
  <si>
    <t>BE-00649</t>
  </si>
  <si>
    <t>GÖ-00650</t>
  </si>
  <si>
    <t>Kadak</t>
  </si>
  <si>
    <t>SU-00651</t>
  </si>
  <si>
    <t>Sultan</t>
  </si>
  <si>
    <t>Yalnız</t>
  </si>
  <si>
    <t>MU-00652</t>
  </si>
  <si>
    <t>BA-00653</t>
  </si>
  <si>
    <t>ME-00654</t>
  </si>
  <si>
    <t>Melia</t>
  </si>
  <si>
    <t>Aluçlu</t>
  </si>
  <si>
    <t>AD-00655</t>
  </si>
  <si>
    <t>MU-00656</t>
  </si>
  <si>
    <t>İH-00657</t>
  </si>
  <si>
    <t>Çobanoğlu</t>
  </si>
  <si>
    <t>ME-00658</t>
  </si>
  <si>
    <t>Mesude</t>
  </si>
  <si>
    <t>NE-00659</t>
  </si>
  <si>
    <t>Yalçınkaya</t>
  </si>
  <si>
    <t>MU-00660</t>
  </si>
  <si>
    <t>Muhammed</t>
  </si>
  <si>
    <t>Taha Gündüz</t>
  </si>
  <si>
    <t>DE-00661</t>
  </si>
  <si>
    <t>AD-00662</t>
  </si>
  <si>
    <t>Adnan</t>
  </si>
  <si>
    <t>Gözkaya</t>
  </si>
  <si>
    <t>EL-00663</t>
  </si>
  <si>
    <t>Bakırcı</t>
  </si>
  <si>
    <t>AB-00664</t>
  </si>
  <si>
    <t>NE-00665</t>
  </si>
  <si>
    <t>BA-00666</t>
  </si>
  <si>
    <t>ZE-00667</t>
  </si>
  <si>
    <t>Zeki</t>
  </si>
  <si>
    <t>EB-00668</t>
  </si>
  <si>
    <t>ER-00669</t>
  </si>
  <si>
    <t>Akpınar</t>
  </si>
  <si>
    <t>VE-00670</t>
  </si>
  <si>
    <t>Veysel</t>
  </si>
  <si>
    <t>ZE-00671</t>
  </si>
  <si>
    <t>MA-00672</t>
  </si>
  <si>
    <t>Nuri Erden</t>
  </si>
  <si>
    <t>MÜ-00673</t>
  </si>
  <si>
    <t>KÜ-00674</t>
  </si>
  <si>
    <t>Babacan</t>
  </si>
  <si>
    <t>EY-00675</t>
  </si>
  <si>
    <t>Eyyup</t>
  </si>
  <si>
    <t>Sabri Ten</t>
  </si>
  <si>
    <t>SA-00676</t>
  </si>
  <si>
    <t>EL-00677</t>
  </si>
  <si>
    <t>SÜ-00678</t>
  </si>
  <si>
    <t>Süreyya</t>
  </si>
  <si>
    <t>Kütük</t>
  </si>
  <si>
    <t>İS-00679</t>
  </si>
  <si>
    <t>TA-00680</t>
  </si>
  <si>
    <t>Taner</t>
  </si>
  <si>
    <t>EV-00681</t>
  </si>
  <si>
    <t>Tola</t>
  </si>
  <si>
    <t>AY-00682</t>
  </si>
  <si>
    <t>ON-00683</t>
  </si>
  <si>
    <t>Kadir Akın</t>
  </si>
  <si>
    <t>YA-00684</t>
  </si>
  <si>
    <t>Yahya</t>
  </si>
  <si>
    <t>SE-00685</t>
  </si>
  <si>
    <t>Özlem Önal Musalar</t>
  </si>
  <si>
    <t>ES-00686</t>
  </si>
  <si>
    <t>Nur Köylü</t>
  </si>
  <si>
    <t>ER-00687</t>
  </si>
  <si>
    <t>AL-00688</t>
  </si>
  <si>
    <t>Haluk Topal</t>
  </si>
  <si>
    <t>CE-00689</t>
  </si>
  <si>
    <t>Ayşe Kılıç</t>
  </si>
  <si>
    <t>EB-00690</t>
  </si>
  <si>
    <t>TÜ-00691</t>
  </si>
  <si>
    <t>Tuncel</t>
  </si>
  <si>
    <t>BU-00692</t>
  </si>
  <si>
    <t>Burhan</t>
  </si>
  <si>
    <t>SE-00693</t>
  </si>
  <si>
    <t>BÜ-00694</t>
  </si>
  <si>
    <t>Bünyamin</t>
  </si>
  <si>
    <t>Kuşku</t>
  </si>
  <si>
    <t>SE-00695</t>
  </si>
  <si>
    <t>Tİ-00696</t>
  </si>
  <si>
    <t>Timur</t>
  </si>
  <si>
    <t>Berekatoğlu</t>
  </si>
  <si>
    <t>AH-00697</t>
  </si>
  <si>
    <t>İmamoğlu</t>
  </si>
  <si>
    <t>ME-00698</t>
  </si>
  <si>
    <t>Merih</t>
  </si>
  <si>
    <t>Karakan</t>
  </si>
  <si>
    <t>ÖZ-00699</t>
  </si>
  <si>
    <t>AL-00700</t>
  </si>
  <si>
    <t>Celiloğlu</t>
  </si>
  <si>
    <t>RE-00701</t>
  </si>
  <si>
    <t>Refik</t>
  </si>
  <si>
    <t>EL-00702</t>
  </si>
  <si>
    <t>Ela</t>
  </si>
  <si>
    <t>ER-00703</t>
  </si>
  <si>
    <t>AS-00704</t>
  </si>
  <si>
    <t>Tuğçe Akyol</t>
  </si>
  <si>
    <t>YA-00705</t>
  </si>
  <si>
    <t>Gökhan Hatipoğlu</t>
  </si>
  <si>
    <t>ES-00706</t>
  </si>
  <si>
    <t>ER-00707</t>
  </si>
  <si>
    <t>Karademir</t>
  </si>
  <si>
    <t>KÜ-00708</t>
  </si>
  <si>
    <t>Özavcı Aygün</t>
  </si>
  <si>
    <t>EF-00709</t>
  </si>
  <si>
    <t>Eftal</t>
  </si>
  <si>
    <t>Murat Karakurt</t>
  </si>
  <si>
    <t>ME-00710</t>
  </si>
  <si>
    <t>GO-00711</t>
  </si>
  <si>
    <t>KE-00712</t>
  </si>
  <si>
    <t>Kezban</t>
  </si>
  <si>
    <t>TU-00713</t>
  </si>
  <si>
    <t>Özekli Mısırlıoğlu</t>
  </si>
  <si>
    <t>ER-00714</t>
  </si>
  <si>
    <t>TÜ-00715</t>
  </si>
  <si>
    <t>Vatansever</t>
  </si>
  <si>
    <t>AY-00716</t>
  </si>
  <si>
    <t>Aydemir</t>
  </si>
  <si>
    <t>Eken</t>
  </si>
  <si>
    <t>AH-00717</t>
  </si>
  <si>
    <t>Gökhan Karakaya</t>
  </si>
  <si>
    <t>SE-00718</t>
  </si>
  <si>
    <t>Erdoğan</t>
  </si>
  <si>
    <t>SE-00719</t>
  </si>
  <si>
    <t>Alpaycı</t>
  </si>
  <si>
    <t>YA-00720</t>
  </si>
  <si>
    <t>Beder</t>
  </si>
  <si>
    <t>MU-00721</t>
  </si>
  <si>
    <t>Devran Öğütmen Koç</t>
  </si>
  <si>
    <t>AD-00722</t>
  </si>
  <si>
    <t>Batgi Azarkan</t>
  </si>
  <si>
    <t>FA-00723</t>
  </si>
  <si>
    <t>ŞE-00724</t>
  </si>
  <si>
    <t>Bal</t>
  </si>
  <si>
    <t>EN-00725</t>
  </si>
  <si>
    <t>Kabil Kucur</t>
  </si>
  <si>
    <t>KE-00726</t>
  </si>
  <si>
    <t>FA-00727</t>
  </si>
  <si>
    <t>Selcen Ulutaş</t>
  </si>
  <si>
    <t>NU-00728</t>
  </si>
  <si>
    <t>Nuray</t>
  </si>
  <si>
    <t>Müftüoğlu</t>
  </si>
  <si>
    <t>NU-00729</t>
  </si>
  <si>
    <t>Nurettin</t>
  </si>
  <si>
    <t>HA-00730</t>
  </si>
  <si>
    <t>Baysoy</t>
  </si>
  <si>
    <t>EL-00731</t>
  </si>
  <si>
    <t>ÜM-00732</t>
  </si>
  <si>
    <t>Yurdam</t>
  </si>
  <si>
    <t>YE-00733</t>
  </si>
  <si>
    <t>İL-00734</t>
  </si>
  <si>
    <t>Gülen</t>
  </si>
  <si>
    <t>YÜ-00735</t>
  </si>
  <si>
    <t>ER-00736</t>
  </si>
  <si>
    <t>Ersagun</t>
  </si>
  <si>
    <t>Şengül</t>
  </si>
  <si>
    <t>SE-00737</t>
  </si>
  <si>
    <t>SE-00738</t>
  </si>
  <si>
    <t>Semine</t>
  </si>
  <si>
    <t>PI-00739</t>
  </si>
  <si>
    <t>Menteş</t>
  </si>
  <si>
    <t>DE-00740</t>
  </si>
  <si>
    <t>ED-00741</t>
  </si>
  <si>
    <t>Eda</t>
  </si>
  <si>
    <t>Çimen</t>
  </si>
  <si>
    <t>ÖM-00742</t>
  </si>
  <si>
    <t>Faruk Yılmaz</t>
  </si>
  <si>
    <t>ÖZ-00743</t>
  </si>
  <si>
    <t>YU-00744</t>
  </si>
  <si>
    <t>BU-00745</t>
  </si>
  <si>
    <t>ÖZ-00746</t>
  </si>
  <si>
    <t>YU-00747</t>
  </si>
  <si>
    <t>HÜ-00748</t>
  </si>
  <si>
    <t>Kunter Karasu</t>
  </si>
  <si>
    <t>ŞA-00749</t>
  </si>
  <si>
    <t>ES-00750</t>
  </si>
  <si>
    <t>ME-00751</t>
  </si>
  <si>
    <t>KI-00752</t>
  </si>
  <si>
    <t>Kıvanç</t>
  </si>
  <si>
    <t>Akar</t>
  </si>
  <si>
    <t>ÖZ-00753</t>
  </si>
  <si>
    <t>UM-00754</t>
  </si>
  <si>
    <t>Can Sevingil</t>
  </si>
  <si>
    <t>SE-00755</t>
  </si>
  <si>
    <t>Sezgin</t>
  </si>
  <si>
    <t>Yacı</t>
  </si>
  <si>
    <t>SE-00756</t>
  </si>
  <si>
    <t>Bulakçı</t>
  </si>
  <si>
    <t>BU-00757</t>
  </si>
  <si>
    <t>Çiçekbilek</t>
  </si>
  <si>
    <t>ZE-00758</t>
  </si>
  <si>
    <t>Zerrin</t>
  </si>
  <si>
    <t>Tay</t>
  </si>
  <si>
    <t>NA-00759</t>
  </si>
  <si>
    <t>Nazım</t>
  </si>
  <si>
    <t>AY-00760</t>
  </si>
  <si>
    <t>Gül Tarkan</t>
  </si>
  <si>
    <t>MU-00761</t>
  </si>
  <si>
    <t>Devran Topkara</t>
  </si>
  <si>
    <t>SU-00762</t>
  </si>
  <si>
    <t>Savran</t>
  </si>
  <si>
    <t>ME-00763</t>
  </si>
  <si>
    <t>Melike</t>
  </si>
  <si>
    <t>AH-00764</t>
  </si>
  <si>
    <t>Tüten</t>
  </si>
  <si>
    <t>OR-00765</t>
  </si>
  <si>
    <t>Orhan</t>
  </si>
  <si>
    <t>FA-00766</t>
  </si>
  <si>
    <t>Oğuz</t>
  </si>
  <si>
    <t>İP-00767</t>
  </si>
  <si>
    <t>İpek</t>
  </si>
  <si>
    <t>Öztürkeri</t>
  </si>
  <si>
    <t>DE-00768</t>
  </si>
  <si>
    <t>İR-00769</t>
  </si>
  <si>
    <t>İrem</t>
  </si>
  <si>
    <t>Metineren</t>
  </si>
  <si>
    <t>ME-00770</t>
  </si>
  <si>
    <t>Sadi Aykan</t>
  </si>
  <si>
    <t>Fİ-00771</t>
  </si>
  <si>
    <t>Şatıroğlu</t>
  </si>
  <si>
    <t>BE-00772</t>
  </si>
  <si>
    <t>Belma</t>
  </si>
  <si>
    <t>Köksoy</t>
  </si>
  <si>
    <t>KE-00773</t>
  </si>
  <si>
    <t>Ahmet Menteş</t>
  </si>
  <si>
    <t>SU-00774</t>
  </si>
  <si>
    <t>ME-00775</t>
  </si>
  <si>
    <t>YA-00776</t>
  </si>
  <si>
    <t>NE-00777</t>
  </si>
  <si>
    <t>Duysak</t>
  </si>
  <si>
    <t>Nİ-00778</t>
  </si>
  <si>
    <t>Ballı</t>
  </si>
  <si>
    <t>ŞE-00779</t>
  </si>
  <si>
    <t>TA-00780</t>
  </si>
  <si>
    <t>Tayfur</t>
  </si>
  <si>
    <t>SE-00781</t>
  </si>
  <si>
    <t>ME-00782</t>
  </si>
  <si>
    <t>Hüseyin Ardıç</t>
  </si>
  <si>
    <t>ŞA-00783</t>
  </si>
  <si>
    <t>Şahinde</t>
  </si>
  <si>
    <t>EM-00784</t>
  </si>
  <si>
    <t>Emin</t>
  </si>
  <si>
    <t>Tonyukuk Demir</t>
  </si>
  <si>
    <t>AR-00785</t>
  </si>
  <si>
    <t>Bülbül</t>
  </si>
  <si>
    <t>CE-00786</t>
  </si>
  <si>
    <t>Ayşe Özcan</t>
  </si>
  <si>
    <t>SA-00787</t>
  </si>
  <si>
    <t>ÖZ-00788</t>
  </si>
  <si>
    <t>Sinan Kaya</t>
  </si>
  <si>
    <t>ZÜ-00789</t>
  </si>
  <si>
    <t>Zülfiye</t>
  </si>
  <si>
    <t>Azak</t>
  </si>
  <si>
    <t>FA-00790</t>
  </si>
  <si>
    <t>Bİ-00791</t>
  </si>
  <si>
    <t>EM-00792</t>
  </si>
  <si>
    <t>ZE-00793</t>
  </si>
  <si>
    <t>MU-00794</t>
  </si>
  <si>
    <t>Alpsan Gökmen</t>
  </si>
  <si>
    <t>BA-00795</t>
  </si>
  <si>
    <t>Aytaç</t>
  </si>
  <si>
    <t>Mİ-00796</t>
  </si>
  <si>
    <t>AH-00797</t>
  </si>
  <si>
    <t>SE-00798</t>
  </si>
  <si>
    <t>Sebiha</t>
  </si>
  <si>
    <t>SE-00799</t>
  </si>
  <si>
    <t>Sevde</t>
  </si>
  <si>
    <t>Nur Demir</t>
  </si>
  <si>
    <t>ÇE-00800</t>
  </si>
  <si>
    <t>Sevük</t>
  </si>
  <si>
    <t>MU-00801</t>
  </si>
  <si>
    <t>Ulaş Oğuz</t>
  </si>
  <si>
    <t>MA-00802</t>
  </si>
  <si>
    <t>HA-00803</t>
  </si>
  <si>
    <t>Pınarbaşılı</t>
  </si>
  <si>
    <t>SE-00804</t>
  </si>
  <si>
    <t>Selim</t>
  </si>
  <si>
    <t>Öney Kurnaz</t>
  </si>
  <si>
    <t>HA-00805</t>
  </si>
  <si>
    <t>Yabul</t>
  </si>
  <si>
    <t>AL-00806</t>
  </si>
  <si>
    <t>Seçkin Ayvaz</t>
  </si>
  <si>
    <t>JÜ-00807</t>
  </si>
  <si>
    <t>Jülide</t>
  </si>
  <si>
    <t>Zehra Uluba</t>
  </si>
  <si>
    <t>GÖ-00808</t>
  </si>
  <si>
    <t>Abacıoğlu</t>
  </si>
  <si>
    <t>MU-00809</t>
  </si>
  <si>
    <t>Gençdal</t>
  </si>
  <si>
    <t>AH-00810</t>
  </si>
  <si>
    <t>Emre Ülgen</t>
  </si>
  <si>
    <t>ME-00811</t>
  </si>
  <si>
    <t>BU-00812</t>
  </si>
  <si>
    <t>Akca Çağlar</t>
  </si>
  <si>
    <t>FE-00813</t>
  </si>
  <si>
    <t>Bayram</t>
  </si>
  <si>
    <t>MU-00814</t>
  </si>
  <si>
    <t>Devran Yıldız</t>
  </si>
  <si>
    <t>EL-00815</t>
  </si>
  <si>
    <t>HA-00816</t>
  </si>
  <si>
    <t>Batmaz</t>
  </si>
  <si>
    <t>NU-00817</t>
  </si>
  <si>
    <t>MU-00818</t>
  </si>
  <si>
    <t>Kıraslan</t>
  </si>
  <si>
    <t>İK-00819</t>
  </si>
  <si>
    <t>ES-00820</t>
  </si>
  <si>
    <t>Polat Çiçek</t>
  </si>
  <si>
    <t>MU-00821</t>
  </si>
  <si>
    <t>AY-00822</t>
  </si>
  <si>
    <t>AH-00823</t>
  </si>
  <si>
    <t>SÜ-00824</t>
  </si>
  <si>
    <t>Süheyla</t>
  </si>
  <si>
    <t>Amirova Uçan</t>
  </si>
  <si>
    <t>NE-00825</t>
  </si>
  <si>
    <t>Ten</t>
  </si>
  <si>
    <t>ÖZ-00826</t>
  </si>
  <si>
    <t>ME-00827</t>
  </si>
  <si>
    <t>Aydıner</t>
  </si>
  <si>
    <t>BU-00828</t>
  </si>
  <si>
    <t>FE-00829</t>
  </si>
  <si>
    <t>Feza</t>
  </si>
  <si>
    <t>KE-00830</t>
  </si>
  <si>
    <t>Ahmet Özcan</t>
  </si>
  <si>
    <t>ÖZ-00831</t>
  </si>
  <si>
    <t>Tuğcugil</t>
  </si>
  <si>
    <t>ÖM-00832</t>
  </si>
  <si>
    <t>Fİ-00833</t>
  </si>
  <si>
    <t>SÜ-00834</t>
  </si>
  <si>
    <t>Kuyucu</t>
  </si>
  <si>
    <t>ON-00835</t>
  </si>
  <si>
    <t>Kadir Dumlu</t>
  </si>
  <si>
    <t>JA-00836</t>
  </si>
  <si>
    <t>MU-00837</t>
  </si>
  <si>
    <t>BU-00838</t>
  </si>
  <si>
    <t>SE-00839</t>
  </si>
  <si>
    <t>FU-00840</t>
  </si>
  <si>
    <t>Kısa Karakaya</t>
  </si>
  <si>
    <t>ED-00841</t>
  </si>
  <si>
    <t>Edip</t>
  </si>
  <si>
    <t>Güvenç Sert</t>
  </si>
  <si>
    <t>MU-00842</t>
  </si>
  <si>
    <t>Aydoğan</t>
  </si>
  <si>
    <t>DE-00843</t>
  </si>
  <si>
    <t>Yüksel</t>
  </si>
  <si>
    <t>YU-00844</t>
  </si>
  <si>
    <t>Hepkaya</t>
  </si>
  <si>
    <t>ZE-00845</t>
  </si>
  <si>
    <t>Gökçe Ayvaz</t>
  </si>
  <si>
    <t>ME-00846</t>
  </si>
  <si>
    <t>Reşit Özdoğan Kavzoğlu</t>
  </si>
  <si>
    <t>ÖM-00847</t>
  </si>
  <si>
    <t>ÇA-00848</t>
  </si>
  <si>
    <t>Çağdaş</t>
  </si>
  <si>
    <t>ÖZ-00849</t>
  </si>
  <si>
    <t>Sarıkaya</t>
  </si>
  <si>
    <t>İL-00850</t>
  </si>
  <si>
    <t>Dönmez</t>
  </si>
  <si>
    <t>LE-00851</t>
  </si>
  <si>
    <t>Leziz</t>
  </si>
  <si>
    <t>SE-00852</t>
  </si>
  <si>
    <t>MA-00853</t>
  </si>
  <si>
    <t>KE-00854</t>
  </si>
  <si>
    <t>Taşkın</t>
  </si>
  <si>
    <t>NU-00855</t>
  </si>
  <si>
    <t>Çift</t>
  </si>
  <si>
    <t>BA-00856</t>
  </si>
  <si>
    <t>Bala</t>
  </si>
  <si>
    <t>Başak Yıldız</t>
  </si>
  <si>
    <t>RE-00857</t>
  </si>
  <si>
    <t>Paköz</t>
  </si>
  <si>
    <t>CU-00858</t>
  </si>
  <si>
    <t>Gençpınar</t>
  </si>
  <si>
    <t>Nİ-00859</t>
  </si>
  <si>
    <t>Nilgün</t>
  </si>
  <si>
    <t>FA-00860</t>
  </si>
  <si>
    <t>Fatıma</t>
  </si>
  <si>
    <t>İlay Bayam</t>
  </si>
  <si>
    <t>ZE-00861</t>
  </si>
  <si>
    <t>Demirelli</t>
  </si>
  <si>
    <t>ER-00862</t>
  </si>
  <si>
    <t>Üçer</t>
  </si>
  <si>
    <t>AY-00863</t>
  </si>
  <si>
    <t>Aybüke</t>
  </si>
  <si>
    <t>SE-00864</t>
  </si>
  <si>
    <t>Sarı</t>
  </si>
  <si>
    <t>NE-00865</t>
  </si>
  <si>
    <t>ÜL-00866</t>
  </si>
  <si>
    <t>Ülkü</t>
  </si>
  <si>
    <t>İS-00867</t>
  </si>
  <si>
    <t>ZÜ-00868</t>
  </si>
  <si>
    <t>EM-00869</t>
  </si>
  <si>
    <t>Yadigaroğlu</t>
  </si>
  <si>
    <t>Bİ-00870</t>
  </si>
  <si>
    <t>EF-00871</t>
  </si>
  <si>
    <t>Murat Sezer</t>
  </si>
  <si>
    <t>ME-00872</t>
  </si>
  <si>
    <t>Koca</t>
  </si>
  <si>
    <t>MU-00873</t>
  </si>
  <si>
    <t>CE-00874</t>
  </si>
  <si>
    <t>AB-00875</t>
  </si>
  <si>
    <t>Arif Baz</t>
  </si>
  <si>
    <t>İB-00876</t>
  </si>
  <si>
    <t>ME-00877</t>
  </si>
  <si>
    <t>ÖN-00878</t>
  </si>
  <si>
    <t>Önder</t>
  </si>
  <si>
    <t>LA-00879</t>
  </si>
  <si>
    <t>YI-00880</t>
  </si>
  <si>
    <t>Oral</t>
  </si>
  <si>
    <t>NA-00881</t>
  </si>
  <si>
    <t>Nazan</t>
  </si>
  <si>
    <t>MU-00882</t>
  </si>
  <si>
    <t>Başkan</t>
  </si>
  <si>
    <t>ME-00883</t>
  </si>
  <si>
    <t>ER-00884</t>
  </si>
  <si>
    <t>Özdoğan Kavzoğlu</t>
  </si>
  <si>
    <t>ÖZ-00885</t>
  </si>
  <si>
    <t>FU-00886</t>
  </si>
  <si>
    <t>Ernis Fidan</t>
  </si>
  <si>
    <t>EY-00887</t>
  </si>
  <si>
    <t>Sabri Öztürk</t>
  </si>
  <si>
    <t>HA-00888</t>
  </si>
  <si>
    <t>AH-00889</t>
  </si>
  <si>
    <t>Bıçakçı</t>
  </si>
  <si>
    <t>MÜ-00890</t>
  </si>
  <si>
    <t>OL-00891</t>
  </si>
  <si>
    <t>Olcay</t>
  </si>
  <si>
    <t>Başak Su Dur</t>
  </si>
  <si>
    <t>FU-00892</t>
  </si>
  <si>
    <t>RÜ-00893</t>
  </si>
  <si>
    <t>Rüştü</t>
  </si>
  <si>
    <t>ER-00894</t>
  </si>
  <si>
    <t>Kırhan</t>
  </si>
  <si>
    <t>ME-00895</t>
  </si>
  <si>
    <t>Leman Akgül</t>
  </si>
  <si>
    <t>ER-00896</t>
  </si>
  <si>
    <t>SE-00897</t>
  </si>
  <si>
    <t>Nilay Akyol</t>
  </si>
  <si>
    <t>ME-00898</t>
  </si>
  <si>
    <t>Hüseyin Ten</t>
  </si>
  <si>
    <t>ER-00899</t>
  </si>
  <si>
    <t>FA-00900</t>
  </si>
  <si>
    <t>RE-00901</t>
  </si>
  <si>
    <t>Rengin</t>
  </si>
  <si>
    <t>Aslıhan Anık</t>
  </si>
  <si>
    <t>VO-00902</t>
  </si>
  <si>
    <t>BE-00903</t>
  </si>
  <si>
    <t>Beyza</t>
  </si>
  <si>
    <t>UM-00904</t>
  </si>
  <si>
    <t>Seda Bereket</t>
  </si>
  <si>
    <t>SE-00905</t>
  </si>
  <si>
    <t>Nilay Işık</t>
  </si>
  <si>
    <t>LA-00906</t>
  </si>
  <si>
    <t>Karadeniz</t>
  </si>
  <si>
    <t>AH-00907</t>
  </si>
  <si>
    <t>Ali Yılmaz</t>
  </si>
  <si>
    <t>ÖZ-00908</t>
  </si>
  <si>
    <t>UF-00909</t>
  </si>
  <si>
    <t>Servet</t>
  </si>
  <si>
    <t>FÜ-00910</t>
  </si>
  <si>
    <t>Füsun</t>
  </si>
  <si>
    <t>KO-00911</t>
  </si>
  <si>
    <t>Konuralp</t>
  </si>
  <si>
    <t>MU-00912</t>
  </si>
  <si>
    <t>ER-00913</t>
  </si>
  <si>
    <t>Bükülmez</t>
  </si>
  <si>
    <t>BE-00914</t>
  </si>
  <si>
    <t>Belgin</t>
  </si>
  <si>
    <t>Aksakal</t>
  </si>
  <si>
    <t>AR-00915</t>
  </si>
  <si>
    <t>AY-00916</t>
  </si>
  <si>
    <t>Ahsen Kırhan</t>
  </si>
  <si>
    <t>İN-00917</t>
  </si>
  <si>
    <t>İnci</t>
  </si>
  <si>
    <t>Kuserli</t>
  </si>
  <si>
    <t>NU-00918</t>
  </si>
  <si>
    <t>İrem Ergöz</t>
  </si>
  <si>
    <t>Şİ-00919</t>
  </si>
  <si>
    <t>TÜ-00920</t>
  </si>
  <si>
    <t>AY-00921</t>
  </si>
  <si>
    <t>Hİ-00922</t>
  </si>
  <si>
    <t>Hilal</t>
  </si>
  <si>
    <t>Timurtaş Dayar</t>
  </si>
  <si>
    <t>PI-00923</t>
  </si>
  <si>
    <t>Kişi</t>
  </si>
  <si>
    <t>ON-00924</t>
  </si>
  <si>
    <t>OS-00925</t>
  </si>
  <si>
    <t>SE-00926</t>
  </si>
  <si>
    <t>Fazlı Akkoyunlu</t>
  </si>
  <si>
    <t>ZE-00927</t>
  </si>
  <si>
    <t>Uyğun</t>
  </si>
  <si>
    <t>GÜ-00928</t>
  </si>
  <si>
    <t>Erden</t>
  </si>
  <si>
    <t>GÖ-00929</t>
  </si>
  <si>
    <t>HA-00930</t>
  </si>
  <si>
    <t>Güney Kocabaş</t>
  </si>
  <si>
    <t>Satır Etiketleri</t>
  </si>
  <si>
    <t>Say İşlem Kodu</t>
  </si>
  <si>
    <t>Genel Toplam</t>
  </si>
  <si>
    <t>Sütun Etiketleri</t>
  </si>
  <si>
    <t>saat</t>
  </si>
  <si>
    <t>Tarih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</si>
</sst>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8"/>
      <color theme="3"/>
      <name val="Calibri Light"/>
      <family val="2"/>
      <charset val="162"/>
      <scheme val="major"/>
    </font>
    <font>
      <b/>
      <sz val="15"/>
      <color theme="3"/>
      <name val="Calibri"/>
      <family val="2"/>
      <charset val="162"/>
      <scheme val="minor"/>
    </font>
    <font>
      <b/>
      <sz val="13"/>
      <color theme="3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sz val="11"/>
      <color rgb="FF006100"/>
      <name val="Calibri"/>
      <family val="2"/>
      <charset val="162"/>
      <scheme val="minor"/>
    </font>
    <font>
      <sz val="11"/>
      <color rgb="FF9C0006"/>
      <name val="Calibri"/>
      <family val="2"/>
      <charset val="162"/>
      <scheme val="minor"/>
    </font>
    <font>
      <sz val="11"/>
      <color rgb="FF9C6500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b/>
      <sz val="11"/>
      <color rgb="FF3F3F3F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sz val="11"/>
      <color rgb="FFFA7D0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i/>
      <sz val="11"/>
      <color rgb="FF7F7F7F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0" fontId="0" fillId="0" borderId="0" xfId="0" applyNumberFormat="1"/>
    <xf numFmtId="14" fontId="0" fillId="0" borderId="0" xfId="0" applyNumberFormat="1"/>
    <xf numFmtId="0" fontId="0" fillId="33" borderId="10" xfId="0" applyFill="1" applyBorder="1"/>
    <xf numFmtId="0" fontId="0" fillId="33" borderId="11" xfId="0" applyFill="1" applyBorder="1"/>
    <xf numFmtId="0" fontId="0" fillId="33" borderId="0" xfId="0" applyFill="1" applyBorder="1"/>
    <xf numFmtId="0" fontId="0" fillId="33" borderId="12" xfId="0" applyFill="1" applyBorder="1"/>
    <xf numFmtId="0" fontId="0" fillId="33" borderId="0" xfId="0" applyFill="1"/>
    <xf numFmtId="0" fontId="0" fillId="33" borderId="13" xfId="0" applyFill="1" applyBorder="1"/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/>
  </cellXfs>
  <cellStyles count="42">
    <cellStyle name="%20 - Vurgu1" xfId="19" builtinId="30" customBuiltin="1"/>
    <cellStyle name="%20 - Vurgu2" xfId="23" builtinId="34" customBuiltin="1"/>
    <cellStyle name="%20 - Vurgu3" xfId="27" builtinId="38" customBuiltin="1"/>
    <cellStyle name="%20 - Vurgu4" xfId="31" builtinId="42" customBuiltin="1"/>
    <cellStyle name="%20 - Vurgu5" xfId="35" builtinId="46" customBuiltin="1"/>
    <cellStyle name="%20 - Vurgu6" xfId="39" builtinId="50" customBuiltin="1"/>
    <cellStyle name="%40 - Vurgu1" xfId="20" builtinId="31" customBuiltin="1"/>
    <cellStyle name="%40 - Vurgu2" xfId="24" builtinId="35" customBuiltin="1"/>
    <cellStyle name="%40 - Vurgu3" xfId="28" builtinId="39" customBuiltin="1"/>
    <cellStyle name="%40 - Vurgu4" xfId="32" builtinId="43" customBuiltin="1"/>
    <cellStyle name="%40 - Vurgu5" xfId="36" builtinId="47" customBuiltin="1"/>
    <cellStyle name="%40 - Vurgu6" xfId="40" builtinId="51" customBuiltin="1"/>
    <cellStyle name="%60 - Vurgu1" xfId="21" builtinId="32" customBuiltin="1"/>
    <cellStyle name="%60 - Vurgu2" xfId="25" builtinId="36" customBuiltin="1"/>
    <cellStyle name="%60 - Vurgu3" xfId="29" builtinId="40" customBuiltin="1"/>
    <cellStyle name="%60 - Vurgu4" xfId="33" builtinId="44" customBuiltin="1"/>
    <cellStyle name="%60 - Vurgu5" xfId="37" builtinId="48" customBuiltin="1"/>
    <cellStyle name="%60 - Vurgu6" xfId="41" builtinId="52" customBuiltin="1"/>
    <cellStyle name="Açıklama Metni" xfId="16" builtinId="53" customBuiltin="1"/>
    <cellStyle name="Ana Başlık" xfId="1" builtinId="15" customBuiltin="1"/>
    <cellStyle name="Bağlı Hücre" xfId="12" builtinId="24" customBuiltin="1"/>
    <cellStyle name="Başlık 1" xfId="2" builtinId="16" customBuiltin="1"/>
    <cellStyle name="Başlık 2" xfId="3" builtinId="17" customBuiltin="1"/>
    <cellStyle name="Başlık 3" xfId="4" builtinId="18" customBuiltin="1"/>
    <cellStyle name="Başlık 4" xfId="5" builtinId="19" customBuiltin="1"/>
    <cellStyle name="Çıkış" xfId="10" builtinId="21" customBuiltin="1"/>
    <cellStyle name="Giriş" xfId="9" builtinId="20" customBuiltin="1"/>
    <cellStyle name="Hesaplama" xfId="11" builtinId="22" customBuiltin="1"/>
    <cellStyle name="İşaretli Hücre" xfId="13" builtinId="23" customBuiltin="1"/>
    <cellStyle name="İyi" xfId="6" builtinId="26" customBuiltin="1"/>
    <cellStyle name="Kötü" xfId="7" builtinId="27" customBuiltin="1"/>
    <cellStyle name="Normal" xfId="0" builtinId="0"/>
    <cellStyle name="Not" xfId="15" builtinId="10" customBuiltin="1"/>
    <cellStyle name="Nötr" xfId="8" builtinId="28" customBuiltin="1"/>
    <cellStyle name="Toplam" xfId="17" builtinId="25" customBuiltin="1"/>
    <cellStyle name="Uyarı Metni" xfId="14" builtinId="11" customBuiltin="1"/>
    <cellStyle name="Vurgu1" xfId="18" builtinId="29" customBuiltin="1"/>
    <cellStyle name="Vurgu2" xfId="22" builtinId="33" customBuiltin="1"/>
    <cellStyle name="Vurgu3" xfId="26" builtinId="37" customBuiltin="1"/>
    <cellStyle name="Vurgu4" xfId="30" builtinId="41" customBuiltin="1"/>
    <cellStyle name="Vurgu5" xfId="34" builtinId="45" customBuiltin="1"/>
    <cellStyle name="Vurgu6" xfId="38" builtinId="49" customBuiltin="1"/>
  </cellStyles>
  <dxfs count="0"/>
  <tableStyles count="0" defaultTableStyle="TableStyleMedium2" defaultPivotStyle="PivotStyleLight16"/>
  <colors>
    <mruColors>
      <color rgb="FF1C1124"/>
      <color rgb="FFDD7631"/>
      <color rgb="FFA7D7C5"/>
      <color rgb="FF693E52"/>
      <color rgb="FF74B49B"/>
      <color rgb="FFF0A500"/>
      <color rgb="FFE40017"/>
      <color rgb="FFD62AD0"/>
      <color rgb="FF3F72AF"/>
      <color rgb="FFF9C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2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[Ana_Program.xlsm]Pivot Table!PivotTable6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aseline="0"/>
              <a:t>Durum Bazlı Toplam İşlem Kodu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12D4E"/>
          </a:solidFill>
          <a:ln>
            <a:solidFill>
              <a:srgbClr val="112D4E"/>
            </a:solidFill>
          </a:ln>
          <a:effectLst/>
        </c:spPr>
      </c:pivotFmt>
      <c:pivotFmt>
        <c:idx val="3"/>
        <c:spPr>
          <a:solidFill>
            <a:srgbClr val="829460"/>
          </a:solidFill>
          <a:ln>
            <a:solidFill>
              <a:srgbClr val="829460"/>
            </a:solidFill>
          </a:ln>
          <a:effectLst/>
        </c:spPr>
      </c:pivotFmt>
      <c:pivotFmt>
        <c:idx val="4"/>
        <c:spPr>
          <a:solidFill>
            <a:srgbClr val="A6B1E1"/>
          </a:solidFill>
          <a:ln>
            <a:solidFill>
              <a:srgbClr val="A6B1E1"/>
            </a:solidFill>
          </a:ln>
          <a:effectLst/>
        </c:spPr>
      </c:pivotFmt>
      <c:pivotFmt>
        <c:idx val="5"/>
        <c:spPr>
          <a:solidFill>
            <a:srgbClr val="0D7377"/>
          </a:solidFill>
          <a:ln>
            <a:solidFill>
              <a:srgbClr val="0D7377"/>
            </a:solidFill>
          </a:ln>
          <a:effectLst/>
        </c:spPr>
      </c:pivotFmt>
      <c:pivotFmt>
        <c:idx val="6"/>
        <c:spPr>
          <a:solidFill>
            <a:srgbClr val="EC994B"/>
          </a:solidFill>
          <a:ln>
            <a:solidFill>
              <a:srgbClr val="EC994B"/>
            </a:solidFill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Table'!$R$3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C994B"/>
              </a:solidFill>
              <a:ln>
                <a:solidFill>
                  <a:srgbClr val="EC994B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7-4236-9E33-A68AE5425E99}"/>
              </c:ext>
            </c:extLst>
          </c:dPt>
          <c:dPt>
            <c:idx val="1"/>
            <c:invertIfNegative val="0"/>
            <c:bubble3D val="0"/>
            <c:spPr>
              <a:solidFill>
                <a:srgbClr val="A6B1E1"/>
              </a:solidFill>
              <a:ln>
                <a:solidFill>
                  <a:srgbClr val="A6B1E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7-4236-9E33-A68AE5425E99}"/>
              </c:ext>
            </c:extLst>
          </c:dPt>
          <c:dPt>
            <c:idx val="2"/>
            <c:invertIfNegative val="0"/>
            <c:bubble3D val="0"/>
            <c:spPr>
              <a:solidFill>
                <a:srgbClr val="0D7377"/>
              </a:solidFill>
              <a:ln>
                <a:solidFill>
                  <a:srgbClr val="0D7377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857-4236-9E33-A68AE5425E99}"/>
              </c:ext>
            </c:extLst>
          </c:dPt>
          <c:dPt>
            <c:idx val="3"/>
            <c:invertIfNegative val="0"/>
            <c:bubble3D val="0"/>
            <c:spPr>
              <a:solidFill>
                <a:srgbClr val="829460"/>
              </a:solidFill>
              <a:ln>
                <a:solidFill>
                  <a:srgbClr val="8294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857-4236-9E33-A68AE5425E99}"/>
              </c:ext>
            </c:extLst>
          </c:dPt>
          <c:dPt>
            <c:idx val="4"/>
            <c:invertIfNegative val="0"/>
            <c:bubble3D val="0"/>
            <c:spPr>
              <a:solidFill>
                <a:srgbClr val="112D4E"/>
              </a:solidFill>
              <a:ln>
                <a:solidFill>
                  <a:srgbClr val="112D4E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7-4236-9E33-A68AE5425E9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Table'!$Q$4:$Q$9</c:f>
              <c:strCache>
                <c:ptCount val="5"/>
                <c:pt idx="0">
                  <c:v>Kargoda</c:v>
                </c:pt>
                <c:pt idx="1">
                  <c:v>Paketlemede</c:v>
                </c:pt>
                <c:pt idx="2">
                  <c:v>Sipariş İptali</c:v>
                </c:pt>
                <c:pt idx="3">
                  <c:v>Tamamlandı</c:v>
                </c:pt>
                <c:pt idx="4">
                  <c:v>Tslm Edldi</c:v>
                </c:pt>
              </c:strCache>
            </c:strRef>
          </c:cat>
          <c:val>
            <c:numRef>
              <c:f>'Pivot Table'!$R$4:$R$9</c:f>
              <c:numCache>
                <c:formatCode>General</c:formatCode>
                <c:ptCount val="5"/>
                <c:pt idx="0">
                  <c:v>15</c:v>
                </c:pt>
                <c:pt idx="1">
                  <c:v>191</c:v>
                </c:pt>
                <c:pt idx="2">
                  <c:v>12</c:v>
                </c:pt>
                <c:pt idx="3">
                  <c:v>212</c:v>
                </c:pt>
                <c:pt idx="4">
                  <c:v>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57-4236-9E33-A68AE5425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3"/>
        <c:overlap val="-27"/>
        <c:axId val="905550816"/>
        <c:axId val="905572864"/>
      </c:barChart>
      <c:catAx>
        <c:axId val="905550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05572864"/>
        <c:crosses val="autoZero"/>
        <c:auto val="1"/>
        <c:lblAlgn val="ctr"/>
        <c:lblOffset val="100"/>
        <c:noMultiLvlLbl val="0"/>
      </c:catAx>
      <c:valAx>
        <c:axId val="905572864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extTo"/>
        <c:crossAx val="90555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[Ana_Program.xlsm]Pivot Table!PivotTable4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Ürün</a:t>
            </a:r>
            <a:r>
              <a:rPr lang="tr-TR" baseline="0"/>
              <a:t> Bazlı Toplam İşlem Kodu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750550"/>
          </a:solidFill>
          <a:ln>
            <a:solidFill>
              <a:srgbClr val="750550"/>
            </a:solidFill>
          </a:ln>
          <a:effectLst/>
        </c:spPr>
      </c:pivotFmt>
      <c:pivotFmt>
        <c:idx val="4"/>
        <c:spPr>
          <a:solidFill>
            <a:srgbClr val="829460"/>
          </a:solidFill>
          <a:ln>
            <a:solidFill>
              <a:srgbClr val="829460"/>
            </a:solidFill>
          </a:ln>
          <a:effectLst/>
        </c:spPr>
      </c:pivotFmt>
      <c:pivotFmt>
        <c:idx val="5"/>
        <c:spPr>
          <a:solidFill>
            <a:srgbClr val="EC994B"/>
          </a:solidFill>
          <a:ln>
            <a:solidFill>
              <a:srgbClr val="EC994B"/>
            </a:solidFill>
          </a:ln>
          <a:effectLst/>
        </c:spPr>
      </c:pivotFmt>
      <c:pivotFmt>
        <c:idx val="6"/>
        <c:spPr>
          <a:solidFill>
            <a:srgbClr val="323232"/>
          </a:solidFill>
          <a:ln>
            <a:solidFill>
              <a:srgbClr val="323232"/>
            </a:solidFill>
          </a:ln>
          <a:effectLst/>
        </c:spPr>
      </c:pivotFmt>
      <c:pivotFmt>
        <c:idx val="7"/>
        <c:spPr>
          <a:solidFill>
            <a:srgbClr val="A6B1E1"/>
          </a:solidFill>
          <a:ln>
            <a:solidFill>
              <a:srgbClr val="A6B1E1"/>
            </a:solidFill>
          </a:ln>
          <a:effectLst/>
        </c:spPr>
      </c:pivotFmt>
      <c:pivotFmt>
        <c:idx val="8"/>
        <c:spPr>
          <a:solidFill>
            <a:srgbClr val="F9CEEE"/>
          </a:solidFill>
          <a:ln>
            <a:solidFill>
              <a:srgbClr val="F9CEEE"/>
            </a:solidFill>
          </a:ln>
          <a:effectLst/>
        </c:spPr>
      </c:pivotFmt>
      <c:pivotFmt>
        <c:idx val="9"/>
        <c:spPr>
          <a:solidFill>
            <a:srgbClr val="3F72AF"/>
          </a:solidFill>
          <a:ln>
            <a:solidFill>
              <a:srgbClr val="3F72AF"/>
            </a:solidFill>
          </a:ln>
          <a:effectLst/>
        </c:spPr>
      </c:pivotFmt>
      <c:pivotFmt>
        <c:idx val="10"/>
        <c:spPr>
          <a:solidFill>
            <a:schemeClr val="accent4">
              <a:lumMod val="75000"/>
            </a:schemeClr>
          </a:solidFill>
          <a:ln>
            <a:solidFill>
              <a:schemeClr val="accent4">
                <a:lumMod val="75000"/>
              </a:schemeClr>
            </a:solidFill>
          </a:ln>
          <a:effectLst/>
        </c:spPr>
      </c:pivotFmt>
      <c:pivotFmt>
        <c:idx val="11"/>
        <c:spPr>
          <a:solidFill>
            <a:schemeClr val="accent1">
              <a:lumMod val="40000"/>
              <a:lumOff val="60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  <a:effectLst/>
        </c:spP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effectLst/>
        </c:spPr>
      </c:pivotFmt>
      <c:pivotFmt>
        <c:idx val="13"/>
        <c:spPr>
          <a:solidFill>
            <a:schemeClr val="accent2">
              <a:lumMod val="75000"/>
            </a:schemeClr>
          </a:solidFill>
          <a:ln>
            <a:solidFill>
              <a:schemeClr val="accent2">
                <a:lumMod val="75000"/>
              </a:schemeClr>
            </a:solidFill>
          </a:ln>
          <a:effectLst/>
        </c:spPr>
      </c:pivotFmt>
      <c:pivotFmt>
        <c:idx val="14"/>
        <c:spPr>
          <a:solidFill>
            <a:srgbClr val="D62AD0"/>
          </a:solidFill>
          <a:ln>
            <a:solidFill>
              <a:srgbClr val="D62AD0"/>
            </a:solidFill>
          </a:ln>
          <a:effectLst/>
        </c:spPr>
      </c:pivotFmt>
      <c:pivotFmt>
        <c:idx val="15"/>
        <c:spPr>
          <a:solidFill>
            <a:srgbClr val="E40017"/>
          </a:solidFill>
          <a:ln>
            <a:solidFill>
              <a:srgbClr val="E40017"/>
            </a:solidFill>
          </a:ln>
          <a:effectLst/>
        </c:spPr>
      </c:pivotFmt>
      <c:pivotFmt>
        <c:idx val="16"/>
        <c:spPr>
          <a:solidFill>
            <a:srgbClr val="74B49B"/>
          </a:solidFill>
          <a:ln>
            <a:solidFill>
              <a:srgbClr val="74B49B"/>
            </a:solidFill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Table'!$F$3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50550"/>
              </a:solidFill>
              <a:ln>
                <a:solidFill>
                  <a:srgbClr val="75055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C62-48E6-A0C4-0B4DC937EE33}"/>
              </c:ext>
            </c:extLst>
          </c:dPt>
          <c:dPt>
            <c:idx val="1"/>
            <c:invertIfNegative val="0"/>
            <c:bubble3D val="0"/>
            <c:spPr>
              <a:solidFill>
                <a:srgbClr val="829460"/>
              </a:solidFill>
              <a:ln>
                <a:solidFill>
                  <a:srgbClr val="8294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BC62-48E6-A0C4-0B4DC937EE33}"/>
              </c:ext>
            </c:extLst>
          </c:dPt>
          <c:dPt>
            <c:idx val="2"/>
            <c:invertIfNegative val="0"/>
            <c:bubble3D val="0"/>
            <c:spPr>
              <a:solidFill>
                <a:srgbClr val="EC994B"/>
              </a:solidFill>
              <a:ln>
                <a:solidFill>
                  <a:srgbClr val="EC994B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C62-48E6-A0C4-0B4DC937EE33}"/>
              </c:ext>
            </c:extLst>
          </c:dPt>
          <c:dPt>
            <c:idx val="3"/>
            <c:invertIfNegative val="0"/>
            <c:bubble3D val="0"/>
            <c:spPr>
              <a:solidFill>
                <a:srgbClr val="323232"/>
              </a:solidFill>
              <a:ln>
                <a:solidFill>
                  <a:srgbClr val="32323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BC62-48E6-A0C4-0B4DC937EE33}"/>
              </c:ext>
            </c:extLst>
          </c:dPt>
          <c:dPt>
            <c:idx val="4"/>
            <c:invertIfNegative val="0"/>
            <c:bubble3D val="0"/>
            <c:spPr>
              <a:solidFill>
                <a:srgbClr val="A6B1E1"/>
              </a:solidFill>
              <a:ln>
                <a:solidFill>
                  <a:srgbClr val="A6B1E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C62-48E6-A0C4-0B4DC937EE33}"/>
              </c:ext>
            </c:extLst>
          </c:dPt>
          <c:dPt>
            <c:idx val="5"/>
            <c:invertIfNegative val="0"/>
            <c:bubble3D val="0"/>
            <c:spPr>
              <a:solidFill>
                <a:srgbClr val="F9CEEE"/>
              </a:solidFill>
              <a:ln>
                <a:solidFill>
                  <a:srgbClr val="F9CEEE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BC62-48E6-A0C4-0B4DC937EE33}"/>
              </c:ext>
            </c:extLst>
          </c:dPt>
          <c:dPt>
            <c:idx val="6"/>
            <c:invertIfNegative val="0"/>
            <c:bubble3D val="0"/>
            <c:spPr>
              <a:solidFill>
                <a:srgbClr val="3F72AF"/>
              </a:solidFill>
              <a:ln>
                <a:solidFill>
                  <a:srgbClr val="3F72A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C62-48E6-A0C4-0B4DC937EE3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solidFill>
                  <a:schemeClr val="accent4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BC62-48E6-A0C4-0B4DC937EE3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solidFill>
                  <a:schemeClr val="accent1">
                    <a:lumMod val="40000"/>
                    <a:lumOff val="6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C62-48E6-A0C4-0B4DC937EE3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BC62-48E6-A0C4-0B4DC937EE33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C62-48E6-A0C4-0B4DC937EE33}"/>
              </c:ext>
            </c:extLst>
          </c:dPt>
          <c:dPt>
            <c:idx val="11"/>
            <c:invertIfNegative val="0"/>
            <c:bubble3D val="0"/>
            <c:spPr>
              <a:solidFill>
                <a:srgbClr val="D62AD0"/>
              </a:solidFill>
              <a:ln>
                <a:solidFill>
                  <a:srgbClr val="D62AD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BC62-48E6-A0C4-0B4DC937EE33}"/>
              </c:ext>
            </c:extLst>
          </c:dPt>
          <c:dPt>
            <c:idx val="12"/>
            <c:invertIfNegative val="0"/>
            <c:bubble3D val="0"/>
            <c:spPr>
              <a:solidFill>
                <a:srgbClr val="E40017"/>
              </a:solidFill>
              <a:ln>
                <a:solidFill>
                  <a:srgbClr val="E40017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C62-48E6-A0C4-0B4DC937EE33}"/>
              </c:ext>
            </c:extLst>
          </c:dPt>
          <c:dPt>
            <c:idx val="13"/>
            <c:invertIfNegative val="0"/>
            <c:bubble3D val="0"/>
            <c:spPr>
              <a:solidFill>
                <a:srgbClr val="74B49B"/>
              </a:solidFill>
              <a:ln>
                <a:solidFill>
                  <a:srgbClr val="74B49B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BC62-48E6-A0C4-0B4DC937EE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Table'!$E$4:$E$18</c:f>
              <c:strCache>
                <c:ptCount val="14"/>
                <c:pt idx="0">
                  <c:v>Drone</c:v>
                </c:pt>
                <c:pt idx="1">
                  <c:v>Hard Disk</c:v>
                </c:pt>
                <c:pt idx="2">
                  <c:v>Kamera</c:v>
                </c:pt>
                <c:pt idx="3">
                  <c:v>Kartuş</c:v>
                </c:pt>
                <c:pt idx="4">
                  <c:v>Klavye</c:v>
                </c:pt>
                <c:pt idx="5">
                  <c:v>Kulaklık</c:v>
                </c:pt>
                <c:pt idx="6">
                  <c:v>Laptop</c:v>
                </c:pt>
                <c:pt idx="7">
                  <c:v>Monitör</c:v>
                </c:pt>
                <c:pt idx="8">
                  <c:v>Mouse</c:v>
                </c:pt>
                <c:pt idx="9">
                  <c:v>Oyun Konsolu</c:v>
                </c:pt>
                <c:pt idx="10">
                  <c:v>Telefon</c:v>
                </c:pt>
                <c:pt idx="11">
                  <c:v>TV</c:v>
                </c:pt>
                <c:pt idx="12">
                  <c:v>Webcam</c:v>
                </c:pt>
                <c:pt idx="13">
                  <c:v>Yazıcı</c:v>
                </c:pt>
              </c:strCache>
            </c:strRef>
          </c:cat>
          <c:val>
            <c:numRef>
              <c:f>'Pivot Table'!$F$4:$F$18</c:f>
              <c:numCache>
                <c:formatCode>General</c:formatCode>
                <c:ptCount val="14"/>
                <c:pt idx="0">
                  <c:v>68</c:v>
                </c:pt>
                <c:pt idx="1">
                  <c:v>65</c:v>
                </c:pt>
                <c:pt idx="2">
                  <c:v>63</c:v>
                </c:pt>
                <c:pt idx="3">
                  <c:v>66</c:v>
                </c:pt>
                <c:pt idx="4">
                  <c:v>61</c:v>
                </c:pt>
                <c:pt idx="5">
                  <c:v>66</c:v>
                </c:pt>
                <c:pt idx="6">
                  <c:v>66</c:v>
                </c:pt>
                <c:pt idx="7">
                  <c:v>78</c:v>
                </c:pt>
                <c:pt idx="8">
                  <c:v>57</c:v>
                </c:pt>
                <c:pt idx="9">
                  <c:v>74</c:v>
                </c:pt>
                <c:pt idx="10">
                  <c:v>56</c:v>
                </c:pt>
                <c:pt idx="11">
                  <c:v>79</c:v>
                </c:pt>
                <c:pt idx="12">
                  <c:v>47</c:v>
                </c:pt>
                <c:pt idx="13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62-48E6-A0C4-0B4DC937E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32"/>
        <c:axId val="847228496"/>
        <c:axId val="847229328"/>
      </c:barChart>
      <c:catAx>
        <c:axId val="8472284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47229328"/>
        <c:crosses val="autoZero"/>
        <c:auto val="1"/>
        <c:lblAlgn val="ctr"/>
        <c:lblOffset val="100"/>
        <c:noMultiLvlLbl val="0"/>
      </c:catAx>
      <c:valAx>
        <c:axId val="8472293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847228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238845144356956"/>
          <c:y val="0.1766494705403204"/>
          <c:w val="0.27761154855643044"/>
          <c:h val="0.762012722547612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[Ana_Program.xlsm]Pivot Table!PivotTable3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tr-TR" sz="1800" b="0" i="0" baseline="0">
                <a:effectLst/>
              </a:rPr>
              <a:t>Şehir Bazlı Toplam İşlem Kodu</a:t>
            </a:r>
            <a:endParaRPr lang="tr-TR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layout>
        <c:manualLayout>
          <c:xMode val="edge"/>
          <c:yMode val="edge"/>
          <c:x val="0.1553459119496855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D737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D7377"/>
          </a:solidFill>
          <a:ln>
            <a:solidFill>
              <a:srgbClr val="0D7377"/>
            </a:solidFill>
          </a:ln>
          <a:effectLst/>
        </c:spPr>
      </c:pivotFmt>
      <c:pivotFmt>
        <c:idx val="3"/>
        <c:spPr>
          <a:solidFill>
            <a:srgbClr val="750550"/>
          </a:solidFill>
          <a:ln>
            <a:solidFill>
              <a:srgbClr val="323232"/>
            </a:solidFill>
          </a:ln>
          <a:effectLst/>
        </c:spPr>
      </c:pivotFmt>
      <c:pivotFmt>
        <c:idx val="4"/>
        <c:spPr>
          <a:solidFill>
            <a:srgbClr val="EC994B"/>
          </a:solidFill>
          <a:ln>
            <a:solidFill>
              <a:srgbClr val="EC994B"/>
            </a:solidFill>
          </a:ln>
          <a:effectLst/>
        </c:spPr>
      </c:pivotFmt>
      <c:pivotFmt>
        <c:idx val="5"/>
        <c:spPr>
          <a:solidFill>
            <a:srgbClr val="A6B1E1"/>
          </a:solidFill>
          <a:ln>
            <a:solidFill>
              <a:srgbClr val="A6B1E1"/>
            </a:solidFill>
          </a:ln>
          <a:effectLst/>
        </c:spPr>
      </c:pivotFmt>
      <c:pivotFmt>
        <c:idx val="6"/>
        <c:spPr>
          <a:solidFill>
            <a:srgbClr val="C06C84"/>
          </a:solidFill>
          <a:ln>
            <a:solidFill>
              <a:srgbClr val="C06C84"/>
            </a:solidFill>
          </a:ln>
          <a:effectLst/>
        </c:spPr>
      </c:pivotFmt>
      <c:pivotFmt>
        <c:idx val="7"/>
        <c:spPr>
          <a:solidFill>
            <a:srgbClr val="3F72AF"/>
          </a:solidFill>
          <a:ln>
            <a:solidFill>
              <a:srgbClr val="3F72AF"/>
            </a:solidFill>
          </a:ln>
          <a:effectLst/>
        </c:spPr>
      </c:pivotFmt>
      <c:pivotFmt>
        <c:idx val="8"/>
        <c:spPr>
          <a:solidFill>
            <a:srgbClr val="112D4E"/>
          </a:solidFill>
          <a:ln>
            <a:solidFill>
              <a:srgbClr val="112D4E"/>
            </a:solidFill>
          </a:ln>
          <a:effectLst/>
        </c:spPr>
      </c:pivotFmt>
      <c:pivotFmt>
        <c:idx val="9"/>
        <c:spPr>
          <a:solidFill>
            <a:srgbClr val="B73E3E"/>
          </a:solidFill>
          <a:ln>
            <a:solidFill>
              <a:srgbClr val="B73E3E"/>
            </a:solidFill>
          </a:ln>
          <a:effectLst/>
        </c:spPr>
      </c:pivotFmt>
      <c:pivotFmt>
        <c:idx val="10"/>
        <c:spPr>
          <a:solidFill>
            <a:srgbClr val="829460"/>
          </a:solidFill>
          <a:ln>
            <a:solidFill>
              <a:srgbClr val="829460"/>
            </a:solidFill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Table'!$B$14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rgbClr val="0D7377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D7377"/>
              </a:solidFill>
              <a:ln>
                <a:solidFill>
                  <a:srgbClr val="0D7377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5E-46A1-8C16-9E56C3D3E595}"/>
              </c:ext>
            </c:extLst>
          </c:dPt>
          <c:dPt>
            <c:idx val="1"/>
            <c:invertIfNegative val="0"/>
            <c:bubble3D val="0"/>
            <c:spPr>
              <a:solidFill>
                <a:srgbClr val="750550"/>
              </a:solidFill>
              <a:ln>
                <a:solidFill>
                  <a:srgbClr val="32323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55E-46A1-8C16-9E56C3D3E595}"/>
              </c:ext>
            </c:extLst>
          </c:dPt>
          <c:dPt>
            <c:idx val="2"/>
            <c:invertIfNegative val="0"/>
            <c:bubble3D val="0"/>
            <c:spPr>
              <a:solidFill>
                <a:srgbClr val="EC994B"/>
              </a:solidFill>
              <a:ln>
                <a:solidFill>
                  <a:srgbClr val="EC994B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55E-46A1-8C16-9E56C3D3E595}"/>
              </c:ext>
            </c:extLst>
          </c:dPt>
          <c:dPt>
            <c:idx val="3"/>
            <c:invertIfNegative val="0"/>
            <c:bubble3D val="0"/>
            <c:spPr>
              <a:solidFill>
                <a:srgbClr val="A6B1E1"/>
              </a:solidFill>
              <a:ln>
                <a:solidFill>
                  <a:srgbClr val="A6B1E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055E-46A1-8C16-9E56C3D3E595}"/>
              </c:ext>
            </c:extLst>
          </c:dPt>
          <c:dPt>
            <c:idx val="4"/>
            <c:invertIfNegative val="0"/>
            <c:bubble3D val="0"/>
            <c:spPr>
              <a:solidFill>
                <a:srgbClr val="C06C84"/>
              </a:solidFill>
              <a:ln>
                <a:solidFill>
                  <a:srgbClr val="C06C8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55E-46A1-8C16-9E56C3D3E595}"/>
              </c:ext>
            </c:extLst>
          </c:dPt>
          <c:dPt>
            <c:idx val="5"/>
            <c:invertIfNegative val="0"/>
            <c:bubble3D val="0"/>
            <c:spPr>
              <a:solidFill>
                <a:srgbClr val="3F72AF"/>
              </a:solidFill>
              <a:ln>
                <a:solidFill>
                  <a:srgbClr val="3F72A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055E-46A1-8C16-9E56C3D3E595}"/>
              </c:ext>
            </c:extLst>
          </c:dPt>
          <c:dPt>
            <c:idx val="6"/>
            <c:invertIfNegative val="0"/>
            <c:bubble3D val="0"/>
            <c:spPr>
              <a:solidFill>
                <a:srgbClr val="112D4E"/>
              </a:solidFill>
              <a:ln>
                <a:solidFill>
                  <a:srgbClr val="112D4E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55E-46A1-8C16-9E56C3D3E595}"/>
              </c:ext>
            </c:extLst>
          </c:dPt>
          <c:dPt>
            <c:idx val="7"/>
            <c:invertIfNegative val="0"/>
            <c:bubble3D val="0"/>
            <c:spPr>
              <a:solidFill>
                <a:srgbClr val="B73E3E"/>
              </a:solidFill>
              <a:ln>
                <a:solidFill>
                  <a:srgbClr val="B73E3E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055E-46A1-8C16-9E56C3D3E595}"/>
              </c:ext>
            </c:extLst>
          </c:dPt>
          <c:dPt>
            <c:idx val="8"/>
            <c:invertIfNegative val="0"/>
            <c:bubble3D val="0"/>
            <c:spPr>
              <a:solidFill>
                <a:srgbClr val="829460"/>
              </a:solidFill>
              <a:ln>
                <a:solidFill>
                  <a:srgbClr val="82946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55E-46A1-8C16-9E56C3D3E5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Table'!$A$15:$A$24</c:f>
              <c:strCache>
                <c:ptCount val="9"/>
                <c:pt idx="0">
                  <c:v>Trabzon</c:v>
                </c:pt>
                <c:pt idx="1">
                  <c:v>Bursa</c:v>
                </c:pt>
                <c:pt idx="2">
                  <c:v>Konya</c:v>
                </c:pt>
                <c:pt idx="3">
                  <c:v>Uşak</c:v>
                </c:pt>
                <c:pt idx="4">
                  <c:v>Bolu</c:v>
                </c:pt>
                <c:pt idx="5">
                  <c:v>İzmir</c:v>
                </c:pt>
                <c:pt idx="6">
                  <c:v>Ankara</c:v>
                </c:pt>
                <c:pt idx="7">
                  <c:v>istnbl</c:v>
                </c:pt>
                <c:pt idx="8">
                  <c:v>Antalya</c:v>
                </c:pt>
              </c:strCache>
            </c:strRef>
          </c:cat>
          <c:val>
            <c:numRef>
              <c:f>'Pivot Table'!$B$15:$B$24</c:f>
              <c:numCache>
                <c:formatCode>General</c:formatCode>
                <c:ptCount val="9"/>
                <c:pt idx="0">
                  <c:v>112</c:v>
                </c:pt>
                <c:pt idx="1">
                  <c:v>111</c:v>
                </c:pt>
                <c:pt idx="2">
                  <c:v>109</c:v>
                </c:pt>
                <c:pt idx="3">
                  <c:v>107</c:v>
                </c:pt>
                <c:pt idx="4">
                  <c:v>106</c:v>
                </c:pt>
                <c:pt idx="5">
                  <c:v>105</c:v>
                </c:pt>
                <c:pt idx="6">
                  <c:v>95</c:v>
                </c:pt>
                <c:pt idx="7">
                  <c:v>85</c:v>
                </c:pt>
                <c:pt idx="8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5E-46A1-8C16-9E56C3D3E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8"/>
        <c:overlap val="-27"/>
        <c:axId val="905559136"/>
        <c:axId val="905553312"/>
      </c:barChart>
      <c:catAx>
        <c:axId val="905559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05553312"/>
        <c:crosses val="autoZero"/>
        <c:auto val="1"/>
        <c:lblAlgn val="ctr"/>
        <c:lblOffset val="100"/>
        <c:noMultiLvlLbl val="0"/>
      </c:catAx>
      <c:valAx>
        <c:axId val="9055533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05559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[Ana_Program.xlsm]Pivot Table!PivotTable19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aseline="0"/>
              <a:t>Durum ve Adet Bazlı Toplam İşlem Kodu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DD7631"/>
          </a:solidFill>
          <a:ln>
            <a:solidFill>
              <a:srgbClr val="DD7631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1C1124"/>
          </a:solidFill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693E52"/>
          </a:solidFill>
          <a:ln>
            <a:solidFill>
              <a:srgbClr val="693E52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74B49B"/>
          </a:solidFill>
          <a:ln>
            <a:solidFill>
              <a:srgbClr val="74B49B"/>
            </a:solidFill>
          </a:ln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Table'!$L$13:$L$14</c:f>
              <c:strCache>
                <c:ptCount val="1"/>
                <c:pt idx="0">
                  <c:v>Kargoda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Table'!$K$15:$K$23</c:f>
              <c:strCache>
                <c:ptCount val="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</c:strCache>
            </c:strRef>
          </c:cat>
          <c:val>
            <c:numRef>
              <c:f>'Pivot Table'!$L$15:$L$23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6">
                  <c:v>4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68-4142-ACA7-BFC33112D4CE}"/>
            </c:ext>
          </c:extLst>
        </c:ser>
        <c:ser>
          <c:idx val="1"/>
          <c:order val="1"/>
          <c:tx>
            <c:strRef>
              <c:f>'Pivot Table'!$M$13:$M$14</c:f>
              <c:strCache>
                <c:ptCount val="1"/>
                <c:pt idx="0">
                  <c:v>Paketlemede</c:v>
                </c:pt>
              </c:strCache>
            </c:strRef>
          </c:tx>
          <c:spPr>
            <a:solidFill>
              <a:srgbClr val="DD7631"/>
            </a:solidFill>
            <a:ln>
              <a:solidFill>
                <a:srgbClr val="DD7631"/>
              </a:solidFill>
            </a:ln>
          </c:spPr>
          <c:invertIfNegative val="0"/>
          <c:cat>
            <c:strRef>
              <c:f>'Pivot Table'!$K$15:$K$23</c:f>
              <c:strCache>
                <c:ptCount val="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</c:strCache>
            </c:strRef>
          </c:cat>
          <c:val>
            <c:numRef>
              <c:f>'Pivot Table'!$M$15:$M$23</c:f>
              <c:numCache>
                <c:formatCode>General</c:formatCode>
                <c:ptCount val="8"/>
                <c:pt idx="0">
                  <c:v>21</c:v>
                </c:pt>
                <c:pt idx="1">
                  <c:v>14</c:v>
                </c:pt>
                <c:pt idx="2">
                  <c:v>31</c:v>
                </c:pt>
                <c:pt idx="3">
                  <c:v>22</c:v>
                </c:pt>
                <c:pt idx="4">
                  <c:v>21</c:v>
                </c:pt>
                <c:pt idx="5">
                  <c:v>28</c:v>
                </c:pt>
                <c:pt idx="6">
                  <c:v>35</c:v>
                </c:pt>
                <c:pt idx="7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668-4142-ACA7-BFC33112D4CE}"/>
            </c:ext>
          </c:extLst>
        </c:ser>
        <c:ser>
          <c:idx val="2"/>
          <c:order val="2"/>
          <c:tx>
            <c:strRef>
              <c:f>'Pivot Table'!$N$13:$N$14</c:f>
              <c:strCache>
                <c:ptCount val="1"/>
                <c:pt idx="0">
                  <c:v>Sipariş İptali</c:v>
                </c:pt>
              </c:strCache>
            </c:strRef>
          </c:tx>
          <c:spPr>
            <a:solidFill>
              <a:srgbClr val="1C1124"/>
            </a:solidFill>
          </c:spPr>
          <c:invertIfNegative val="0"/>
          <c:cat>
            <c:strRef>
              <c:f>'Pivot Table'!$K$15:$K$23</c:f>
              <c:strCache>
                <c:ptCount val="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</c:strCache>
            </c:strRef>
          </c:cat>
          <c:val>
            <c:numRef>
              <c:f>'Pivot Table'!$N$15:$N$23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</c:v>
                </c:pt>
                <c:pt idx="6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68-4142-ACA7-BFC33112D4CE}"/>
            </c:ext>
          </c:extLst>
        </c:ser>
        <c:ser>
          <c:idx val="3"/>
          <c:order val="3"/>
          <c:tx>
            <c:strRef>
              <c:f>'Pivot Table'!$O$13:$O$14</c:f>
              <c:strCache>
                <c:ptCount val="1"/>
                <c:pt idx="0">
                  <c:v>Tamamlandı</c:v>
                </c:pt>
              </c:strCache>
            </c:strRef>
          </c:tx>
          <c:spPr>
            <a:solidFill>
              <a:srgbClr val="693E52"/>
            </a:solidFill>
            <a:ln>
              <a:solidFill>
                <a:srgbClr val="693E52"/>
              </a:solidFill>
            </a:ln>
          </c:spPr>
          <c:invertIfNegative val="0"/>
          <c:cat>
            <c:strRef>
              <c:f>'Pivot Table'!$K$15:$K$23</c:f>
              <c:strCache>
                <c:ptCount val="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</c:strCache>
            </c:strRef>
          </c:cat>
          <c:val>
            <c:numRef>
              <c:f>'Pivot Table'!$O$15:$O$23</c:f>
              <c:numCache>
                <c:formatCode>General</c:formatCode>
                <c:ptCount val="8"/>
                <c:pt idx="0">
                  <c:v>29</c:v>
                </c:pt>
                <c:pt idx="1">
                  <c:v>20</c:v>
                </c:pt>
                <c:pt idx="2">
                  <c:v>31</c:v>
                </c:pt>
                <c:pt idx="3">
                  <c:v>28</c:v>
                </c:pt>
                <c:pt idx="4">
                  <c:v>36</c:v>
                </c:pt>
                <c:pt idx="5">
                  <c:v>23</c:v>
                </c:pt>
                <c:pt idx="6">
                  <c:v>21</c:v>
                </c:pt>
                <c:pt idx="7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668-4142-ACA7-BFC33112D4CE}"/>
            </c:ext>
          </c:extLst>
        </c:ser>
        <c:ser>
          <c:idx val="4"/>
          <c:order val="4"/>
          <c:tx>
            <c:strRef>
              <c:f>'Pivot Table'!$P$13:$P$14</c:f>
              <c:strCache>
                <c:ptCount val="1"/>
                <c:pt idx="0">
                  <c:v>Tslm Edldi</c:v>
                </c:pt>
              </c:strCache>
            </c:strRef>
          </c:tx>
          <c:spPr>
            <a:solidFill>
              <a:srgbClr val="74B49B"/>
            </a:solidFill>
            <a:ln>
              <a:solidFill>
                <a:srgbClr val="74B49B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'Pivot Table'!$K$15:$K$23</c:f>
              <c:strCache>
                <c:ptCount val="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</c:strCache>
            </c:strRef>
          </c:cat>
          <c:val>
            <c:numRef>
              <c:f>'Pivot Table'!$P$15:$P$23</c:f>
              <c:numCache>
                <c:formatCode>General</c:formatCode>
                <c:ptCount val="8"/>
                <c:pt idx="0">
                  <c:v>53</c:v>
                </c:pt>
                <c:pt idx="1">
                  <c:v>52</c:v>
                </c:pt>
                <c:pt idx="2">
                  <c:v>61</c:v>
                </c:pt>
                <c:pt idx="3">
                  <c:v>66</c:v>
                </c:pt>
                <c:pt idx="4">
                  <c:v>64</c:v>
                </c:pt>
                <c:pt idx="5">
                  <c:v>57</c:v>
                </c:pt>
                <c:pt idx="6">
                  <c:v>62</c:v>
                </c:pt>
                <c:pt idx="7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668-4142-ACA7-BFC33112D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847228496"/>
        <c:axId val="847229328"/>
      </c:barChart>
      <c:catAx>
        <c:axId val="8472284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7229328"/>
        <c:crosses val="autoZero"/>
        <c:auto val="1"/>
        <c:lblAlgn val="ctr"/>
        <c:lblOffset val="100"/>
        <c:noMultiLvlLbl val="0"/>
      </c:catAx>
      <c:valAx>
        <c:axId val="8472293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47228496"/>
        <c:crosses val="autoZero"/>
        <c:crossBetween val="between"/>
      </c:val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  <c:extLst/>
  </c:chart>
  <c:spPr>
    <a:noFill/>
    <a:ln>
      <a:solidFill>
        <a:schemeClr val="tx1">
          <a:lumMod val="50000"/>
          <a:lumOff val="50000"/>
        </a:schemeClr>
      </a:solidFill>
    </a:ln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17</xdr:row>
      <xdr:rowOff>0</xdr:rowOff>
    </xdr:to>
    <xdr:graphicFrame macro="">
      <xdr:nvGraphicFramePr>
        <xdr:cNvPr id="9" name="Grafik 4">
          <a:extLst>
            <a:ext uri="{FF2B5EF4-FFF2-40B4-BE49-F238E27FC236}">
              <a16:creationId xmlns:a16="http://schemas.microsoft.com/office/drawing/2014/main" id="{D5CA0178-D1CC-5185-4CB9-C6A1E3E694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17</xdr:col>
      <xdr:colOff>0</xdr:colOff>
      <xdr:row>17</xdr:row>
      <xdr:rowOff>0</xdr:rowOff>
    </xdr:to>
    <xdr:graphicFrame macro="">
      <xdr:nvGraphicFramePr>
        <xdr:cNvPr id="10" name="Grafik 3">
          <a:extLst>
            <a:ext uri="{FF2B5EF4-FFF2-40B4-BE49-F238E27FC236}">
              <a16:creationId xmlns:a16="http://schemas.microsoft.com/office/drawing/2014/main" id="{FA4DACE7-F7C3-3C30-2069-A7C369B4A8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11</xdr:col>
      <xdr:colOff>30480</xdr:colOff>
      <xdr:row>17</xdr:row>
      <xdr:rowOff>0</xdr:rowOff>
    </xdr:to>
    <xdr:graphicFrame macro="">
      <xdr:nvGraphicFramePr>
        <xdr:cNvPr id="11" name="Grafik 2">
          <a:extLst>
            <a:ext uri="{FF2B5EF4-FFF2-40B4-BE49-F238E27FC236}">
              <a16:creationId xmlns:a16="http://schemas.microsoft.com/office/drawing/2014/main" id="{FBC1B8D7-D661-26CB-94FC-573706A26D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586740</xdr:colOff>
      <xdr:row>0</xdr:row>
      <xdr:rowOff>0</xdr:rowOff>
    </xdr:from>
    <xdr:to>
      <xdr:col>23</xdr:col>
      <xdr:colOff>0</xdr:colOff>
      <xdr:row>17</xdr:row>
      <xdr:rowOff>0</xdr:rowOff>
    </xdr:to>
    <xdr:graphicFrame macro="">
      <xdr:nvGraphicFramePr>
        <xdr:cNvPr id="13" name="Grafik 9">
          <a:extLst>
            <a:ext uri="{FF2B5EF4-FFF2-40B4-BE49-F238E27FC236}">
              <a16:creationId xmlns:a16="http://schemas.microsoft.com/office/drawing/2014/main" id="{AFD50044-CE10-7C7C-F4D2-57BB5261A7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19</xdr:row>
      <xdr:rowOff>22860</xdr:rowOff>
    </xdr:from>
    <xdr:to>
      <xdr:col>3</xdr:col>
      <xdr:colOff>0</xdr:colOff>
      <xdr:row>26</xdr:row>
      <xdr:rowOff>0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D784072B-0880-1E6E-9B61-7308A87CE8BE}"/>
            </a:ext>
          </a:extLst>
        </xdr:cNvPr>
        <xdr:cNvSpPr/>
      </xdr:nvSpPr>
      <xdr:spPr>
        <a:xfrm>
          <a:off x="0" y="3497580"/>
          <a:ext cx="1828800" cy="125730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2</xdr:col>
      <xdr:colOff>358140</xdr:colOff>
      <xdr:row>21</xdr:row>
      <xdr:rowOff>22860</xdr:rowOff>
    </xdr:to>
    <xdr:sp macro="" textlink="">
      <xdr:nvSpPr>
        <xdr:cNvPr id="21" name="Metin kutusu 20">
          <a:extLst>
            <a:ext uri="{FF2B5EF4-FFF2-40B4-BE49-F238E27FC236}">
              <a16:creationId xmlns:a16="http://schemas.microsoft.com/office/drawing/2014/main" id="{E1A0633A-DDC0-27D9-D6AF-18CC64018809}"/>
            </a:ext>
          </a:extLst>
        </xdr:cNvPr>
        <xdr:cNvSpPr txBox="1"/>
      </xdr:nvSpPr>
      <xdr:spPr>
        <a:xfrm>
          <a:off x="0" y="3657600"/>
          <a:ext cx="1577340" cy="205740"/>
        </a:xfrm>
        <a:prstGeom prst="rect">
          <a:avLst/>
        </a:prstGeom>
        <a:noFill/>
        <a:ln w="9525" cmpd="sng">
          <a:solidFill>
            <a:schemeClr val="bg2">
              <a:lumMod val="1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100">
              <a:solidFill>
                <a:schemeClr val="tx1"/>
              </a:solidFill>
            </a:rPr>
            <a:t>Toplam</a:t>
          </a:r>
          <a:r>
            <a:rPr lang="tr-TR" sz="1100" baseline="0">
              <a:solidFill>
                <a:schemeClr val="tx1"/>
              </a:solidFill>
            </a:rPr>
            <a:t> Ankara Şehri</a:t>
          </a:r>
          <a:endParaRPr lang="tr-TR" sz="1100">
            <a:solidFill>
              <a:schemeClr val="tx1"/>
            </a:solidFill>
          </a:endParaRPr>
        </a:p>
        <a:p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76200</xdr:rowOff>
    </xdr:from>
    <xdr:to>
      <xdr:col>2</xdr:col>
      <xdr:colOff>0</xdr:colOff>
      <xdr:row>24</xdr:row>
      <xdr:rowOff>175260</xdr:rowOff>
    </xdr:to>
    <xdr:sp macro="" textlink="'Pivot Table'!B8">
      <xdr:nvSpPr>
        <xdr:cNvPr id="24" name="Metin kutusu 23">
          <a:extLst>
            <a:ext uri="{FF2B5EF4-FFF2-40B4-BE49-F238E27FC236}">
              <a16:creationId xmlns:a16="http://schemas.microsoft.com/office/drawing/2014/main" id="{F35EEA44-60D4-B5D7-DFF6-2D8479A7C1D2}"/>
            </a:ext>
          </a:extLst>
        </xdr:cNvPr>
        <xdr:cNvSpPr txBox="1"/>
      </xdr:nvSpPr>
      <xdr:spPr>
        <a:xfrm>
          <a:off x="0" y="4099560"/>
          <a:ext cx="1219200" cy="46482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F351547-2F0F-41DF-898A-37109A1D4614}" type="TxLink">
            <a:rPr lang="en-US" sz="1800" b="1" i="0" u="none" strike="noStrike">
              <a:solidFill>
                <a:schemeClr val="tx1"/>
              </a:solidFill>
              <a:latin typeface="Calibri"/>
              <a:cs typeface="Calibri"/>
            </a:rPr>
            <a:pPr algn="ctr"/>
            <a:t>95</a:t>
          </a:fld>
          <a:endParaRPr lang="tr-TR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0</xdr:colOff>
      <xdr:row>19</xdr:row>
      <xdr:rowOff>22860</xdr:rowOff>
    </xdr:from>
    <xdr:to>
      <xdr:col>7</xdr:col>
      <xdr:colOff>0</xdr:colOff>
      <xdr:row>26</xdr:row>
      <xdr:rowOff>0</xdr:rowOff>
    </xdr:to>
    <xdr:sp macro="" textlink="">
      <xdr:nvSpPr>
        <xdr:cNvPr id="26" name="Dikdörtgen 25">
          <a:extLst>
            <a:ext uri="{FF2B5EF4-FFF2-40B4-BE49-F238E27FC236}">
              <a16:creationId xmlns:a16="http://schemas.microsoft.com/office/drawing/2014/main" id="{D90DCFEB-39D0-EF09-1D97-2F112164D35B}"/>
            </a:ext>
          </a:extLst>
        </xdr:cNvPr>
        <xdr:cNvSpPr/>
      </xdr:nvSpPr>
      <xdr:spPr>
        <a:xfrm>
          <a:off x="2438400" y="3497580"/>
          <a:ext cx="1828800" cy="125730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6</xdr:col>
      <xdr:colOff>358140</xdr:colOff>
      <xdr:row>21</xdr:row>
      <xdr:rowOff>22860</xdr:rowOff>
    </xdr:to>
    <xdr:sp macro="" textlink="">
      <xdr:nvSpPr>
        <xdr:cNvPr id="27" name="Metin kutusu 26">
          <a:extLst>
            <a:ext uri="{FF2B5EF4-FFF2-40B4-BE49-F238E27FC236}">
              <a16:creationId xmlns:a16="http://schemas.microsoft.com/office/drawing/2014/main" id="{A9BFEC61-EAA2-F99C-02B1-BCE2F39FA1CC}"/>
            </a:ext>
          </a:extLst>
        </xdr:cNvPr>
        <xdr:cNvSpPr txBox="1"/>
      </xdr:nvSpPr>
      <xdr:spPr>
        <a:xfrm>
          <a:off x="2438400" y="3657600"/>
          <a:ext cx="1577340" cy="20574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100">
              <a:solidFill>
                <a:schemeClr val="tx1"/>
              </a:solidFill>
            </a:rPr>
            <a:t>Toplam</a:t>
          </a:r>
          <a:r>
            <a:rPr lang="tr-TR" sz="1100" baseline="0">
              <a:solidFill>
                <a:schemeClr val="tx1"/>
              </a:solidFill>
            </a:rPr>
            <a:t> Bursa Şehri</a:t>
          </a:r>
          <a:endParaRPr lang="tr-TR" sz="1100">
            <a:solidFill>
              <a:schemeClr val="tx1"/>
            </a:solidFill>
          </a:endParaRPr>
        </a:p>
        <a:p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0</xdr:colOff>
      <xdr:row>22</xdr:row>
      <xdr:rowOff>152400</xdr:rowOff>
    </xdr:from>
    <xdr:to>
      <xdr:col>6</xdr:col>
      <xdr:colOff>0</xdr:colOff>
      <xdr:row>25</xdr:row>
      <xdr:rowOff>0</xdr:rowOff>
    </xdr:to>
    <xdr:sp macro="" textlink="'Pivot Table'!B2">
      <xdr:nvSpPr>
        <xdr:cNvPr id="28" name="Metin kutusu 27">
          <a:extLst>
            <a:ext uri="{FF2B5EF4-FFF2-40B4-BE49-F238E27FC236}">
              <a16:creationId xmlns:a16="http://schemas.microsoft.com/office/drawing/2014/main" id="{5332236D-2901-5AD1-2081-9CB8C69A35EB}"/>
            </a:ext>
          </a:extLst>
        </xdr:cNvPr>
        <xdr:cNvSpPr txBox="1"/>
      </xdr:nvSpPr>
      <xdr:spPr>
        <a:xfrm>
          <a:off x="2438400" y="4175760"/>
          <a:ext cx="1219200" cy="39624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888C61CD-1E95-4755-82B9-CC647D7FB02C}" type="TxLink">
            <a:rPr lang="en-US" sz="1800" b="1" i="0" u="none" strike="noStrike">
              <a:solidFill>
                <a:schemeClr val="tx1"/>
              </a:solidFill>
              <a:latin typeface="Calibri"/>
              <a:cs typeface="Calibri"/>
            </a:rPr>
            <a:pPr algn="ctr"/>
            <a:t>111</a:t>
          </a:fld>
          <a:endParaRPr lang="tr-TR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19</xdr:row>
      <xdr:rowOff>22860</xdr:rowOff>
    </xdr:from>
    <xdr:to>
      <xdr:col>11</xdr:col>
      <xdr:colOff>0</xdr:colOff>
      <xdr:row>26</xdr:row>
      <xdr:rowOff>0</xdr:rowOff>
    </xdr:to>
    <xdr:sp macro="" textlink="">
      <xdr:nvSpPr>
        <xdr:cNvPr id="29" name="Dikdörtgen 28">
          <a:extLst>
            <a:ext uri="{FF2B5EF4-FFF2-40B4-BE49-F238E27FC236}">
              <a16:creationId xmlns:a16="http://schemas.microsoft.com/office/drawing/2014/main" id="{466DF2DF-76B1-E61A-C086-47907C19481F}"/>
            </a:ext>
          </a:extLst>
        </xdr:cNvPr>
        <xdr:cNvSpPr/>
      </xdr:nvSpPr>
      <xdr:spPr>
        <a:xfrm>
          <a:off x="4876800" y="3497580"/>
          <a:ext cx="1828800" cy="125730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8</xdr:col>
      <xdr:colOff>0</xdr:colOff>
      <xdr:row>20</xdr:row>
      <xdr:rowOff>0</xdr:rowOff>
    </xdr:from>
    <xdr:to>
      <xdr:col>10</xdr:col>
      <xdr:colOff>358140</xdr:colOff>
      <xdr:row>21</xdr:row>
      <xdr:rowOff>22860</xdr:rowOff>
    </xdr:to>
    <xdr:sp macro="" textlink="">
      <xdr:nvSpPr>
        <xdr:cNvPr id="30" name="Metin kutusu 29">
          <a:extLst>
            <a:ext uri="{FF2B5EF4-FFF2-40B4-BE49-F238E27FC236}">
              <a16:creationId xmlns:a16="http://schemas.microsoft.com/office/drawing/2014/main" id="{E263D417-8688-5B15-F67C-A2827E0BFC81}"/>
            </a:ext>
          </a:extLst>
        </xdr:cNvPr>
        <xdr:cNvSpPr txBox="1"/>
      </xdr:nvSpPr>
      <xdr:spPr>
        <a:xfrm>
          <a:off x="4876800" y="3657600"/>
          <a:ext cx="1577340" cy="20574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100">
              <a:solidFill>
                <a:schemeClr val="tx1"/>
              </a:solidFill>
            </a:rPr>
            <a:t>Toplam</a:t>
          </a:r>
          <a:r>
            <a:rPr lang="tr-TR" sz="1100" baseline="0">
              <a:solidFill>
                <a:schemeClr val="tx1"/>
              </a:solidFill>
            </a:rPr>
            <a:t> Konya Şehri</a:t>
          </a:r>
          <a:endParaRPr lang="tr-TR" sz="1100">
            <a:solidFill>
              <a:schemeClr val="tx1"/>
            </a:solidFill>
          </a:endParaRPr>
        </a:p>
        <a:p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22</xdr:row>
      <xdr:rowOff>152400</xdr:rowOff>
    </xdr:from>
    <xdr:to>
      <xdr:col>10</xdr:col>
      <xdr:colOff>0</xdr:colOff>
      <xdr:row>25</xdr:row>
      <xdr:rowOff>0</xdr:rowOff>
    </xdr:to>
    <xdr:sp macro="" textlink="'Pivot Table'!B6">
      <xdr:nvSpPr>
        <xdr:cNvPr id="31" name="Metin kutusu 30">
          <a:extLst>
            <a:ext uri="{FF2B5EF4-FFF2-40B4-BE49-F238E27FC236}">
              <a16:creationId xmlns:a16="http://schemas.microsoft.com/office/drawing/2014/main" id="{189F0523-D318-6B63-9C9D-EC5E3154E8DA}"/>
            </a:ext>
          </a:extLst>
        </xdr:cNvPr>
        <xdr:cNvSpPr txBox="1"/>
      </xdr:nvSpPr>
      <xdr:spPr>
        <a:xfrm>
          <a:off x="4876800" y="4175760"/>
          <a:ext cx="1219200" cy="39624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B6CF713A-9C78-4329-A849-BEF727540894}" type="TxLink">
            <a:rPr lang="en-US" sz="1800" b="1" i="0" u="none" strike="noStrike">
              <a:solidFill>
                <a:schemeClr val="tx1"/>
              </a:solidFill>
              <a:latin typeface="Calibri"/>
              <a:cs typeface="Calibri"/>
            </a:rPr>
            <a:pPr algn="ctr"/>
            <a:t>112</a:t>
          </a:fld>
          <a:endParaRPr lang="tr-TR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19</xdr:row>
      <xdr:rowOff>22860</xdr:rowOff>
    </xdr:from>
    <xdr:to>
      <xdr:col>15</xdr:col>
      <xdr:colOff>0</xdr:colOff>
      <xdr:row>26</xdr:row>
      <xdr:rowOff>0</xdr:rowOff>
    </xdr:to>
    <xdr:sp macro="" textlink="">
      <xdr:nvSpPr>
        <xdr:cNvPr id="32" name="Dikdörtgen 31">
          <a:extLst>
            <a:ext uri="{FF2B5EF4-FFF2-40B4-BE49-F238E27FC236}">
              <a16:creationId xmlns:a16="http://schemas.microsoft.com/office/drawing/2014/main" id="{0201D4FC-E58C-43A6-ED4D-228347FA41D6}"/>
            </a:ext>
          </a:extLst>
        </xdr:cNvPr>
        <xdr:cNvSpPr/>
      </xdr:nvSpPr>
      <xdr:spPr>
        <a:xfrm>
          <a:off x="7315200" y="3497580"/>
          <a:ext cx="1828800" cy="125730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12</xdr:col>
      <xdr:colOff>0</xdr:colOff>
      <xdr:row>20</xdr:row>
      <xdr:rowOff>0</xdr:rowOff>
    </xdr:from>
    <xdr:to>
      <xdr:col>14</xdr:col>
      <xdr:colOff>358140</xdr:colOff>
      <xdr:row>21</xdr:row>
      <xdr:rowOff>22860</xdr:rowOff>
    </xdr:to>
    <xdr:sp macro="" textlink="">
      <xdr:nvSpPr>
        <xdr:cNvPr id="33" name="Metin kutusu 32">
          <a:extLst>
            <a:ext uri="{FF2B5EF4-FFF2-40B4-BE49-F238E27FC236}">
              <a16:creationId xmlns:a16="http://schemas.microsoft.com/office/drawing/2014/main" id="{D75EB7A4-44E3-0601-1D6F-1EF118533762}"/>
            </a:ext>
          </a:extLst>
        </xdr:cNvPr>
        <xdr:cNvSpPr txBox="1"/>
      </xdr:nvSpPr>
      <xdr:spPr>
        <a:xfrm>
          <a:off x="7315200" y="3657600"/>
          <a:ext cx="1577340" cy="20574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100">
              <a:solidFill>
                <a:schemeClr val="tx1"/>
              </a:solidFill>
            </a:rPr>
            <a:t>Toplam</a:t>
          </a:r>
          <a:r>
            <a:rPr lang="tr-TR" sz="1100" baseline="0">
              <a:solidFill>
                <a:schemeClr val="tx1"/>
              </a:solidFill>
            </a:rPr>
            <a:t> İzmir Şehri</a:t>
          </a:r>
          <a:endParaRPr lang="tr-TR" sz="1100">
            <a:solidFill>
              <a:schemeClr val="tx1"/>
            </a:solidFill>
          </a:endParaRPr>
        </a:p>
        <a:p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22</xdr:row>
      <xdr:rowOff>152400</xdr:rowOff>
    </xdr:from>
    <xdr:to>
      <xdr:col>14</xdr:col>
      <xdr:colOff>0</xdr:colOff>
      <xdr:row>25</xdr:row>
      <xdr:rowOff>0</xdr:rowOff>
    </xdr:to>
    <xdr:sp macro="" textlink="'Pivot Table'!B3">
      <xdr:nvSpPr>
        <xdr:cNvPr id="34" name="Metin kutusu 33">
          <a:extLst>
            <a:ext uri="{FF2B5EF4-FFF2-40B4-BE49-F238E27FC236}">
              <a16:creationId xmlns:a16="http://schemas.microsoft.com/office/drawing/2014/main" id="{0FED2BBD-4250-C615-67A5-1A6EC73B73EF}"/>
            </a:ext>
          </a:extLst>
        </xdr:cNvPr>
        <xdr:cNvSpPr txBox="1"/>
      </xdr:nvSpPr>
      <xdr:spPr>
        <a:xfrm>
          <a:off x="7315200" y="4175760"/>
          <a:ext cx="1219200" cy="39624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62F794D-3491-4D8C-A1E1-4F9D30DCF823}" type="TxLink">
            <a:rPr lang="en-US" sz="1800" b="1" i="0" u="none" strike="noStrike">
              <a:solidFill>
                <a:schemeClr val="tx1"/>
              </a:solidFill>
              <a:latin typeface="Calibri"/>
              <a:cs typeface="Calibri"/>
            </a:rPr>
            <a:pPr algn="ctr"/>
            <a:t>105</a:t>
          </a:fld>
          <a:endParaRPr lang="tr-TR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0</xdr:colOff>
      <xdr:row>19</xdr:row>
      <xdr:rowOff>0</xdr:rowOff>
    </xdr:from>
    <xdr:to>
      <xdr:col>19</xdr:col>
      <xdr:colOff>0</xdr:colOff>
      <xdr:row>25</xdr:row>
      <xdr:rowOff>160020</xdr:rowOff>
    </xdr:to>
    <xdr:sp macro="" textlink="">
      <xdr:nvSpPr>
        <xdr:cNvPr id="35" name="Dikdörtgen 34">
          <a:extLst>
            <a:ext uri="{FF2B5EF4-FFF2-40B4-BE49-F238E27FC236}">
              <a16:creationId xmlns:a16="http://schemas.microsoft.com/office/drawing/2014/main" id="{3655EF97-C869-E1EA-5138-E009F380A702}"/>
            </a:ext>
          </a:extLst>
        </xdr:cNvPr>
        <xdr:cNvSpPr/>
      </xdr:nvSpPr>
      <xdr:spPr>
        <a:xfrm>
          <a:off x="9753600" y="3474720"/>
          <a:ext cx="1828800" cy="125730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16</xdr:col>
      <xdr:colOff>0</xdr:colOff>
      <xdr:row>19</xdr:row>
      <xdr:rowOff>160020</xdr:rowOff>
    </xdr:from>
    <xdr:to>
      <xdr:col>18</xdr:col>
      <xdr:colOff>358140</xdr:colOff>
      <xdr:row>21</xdr:row>
      <xdr:rowOff>0</xdr:rowOff>
    </xdr:to>
    <xdr:sp macro="" textlink="">
      <xdr:nvSpPr>
        <xdr:cNvPr id="36" name="Metin kutusu 35">
          <a:extLst>
            <a:ext uri="{FF2B5EF4-FFF2-40B4-BE49-F238E27FC236}">
              <a16:creationId xmlns:a16="http://schemas.microsoft.com/office/drawing/2014/main" id="{1C958F4D-56DC-9F07-643B-B6D1D39774D4}"/>
            </a:ext>
          </a:extLst>
        </xdr:cNvPr>
        <xdr:cNvSpPr txBox="1"/>
      </xdr:nvSpPr>
      <xdr:spPr>
        <a:xfrm>
          <a:off x="9753600" y="3634740"/>
          <a:ext cx="1577340" cy="20574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100">
              <a:solidFill>
                <a:schemeClr val="tx1"/>
              </a:solidFill>
            </a:rPr>
            <a:t>Toplam</a:t>
          </a:r>
          <a:r>
            <a:rPr lang="tr-TR" sz="1100" baseline="0">
              <a:solidFill>
                <a:schemeClr val="tx1"/>
              </a:solidFill>
            </a:rPr>
            <a:t> İstanbul Şehri</a:t>
          </a:r>
          <a:endParaRPr lang="tr-TR" sz="1100">
            <a:solidFill>
              <a:schemeClr val="tx1"/>
            </a:solidFill>
          </a:endParaRPr>
        </a:p>
        <a:p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0</xdr:colOff>
      <xdr:row>22</xdr:row>
      <xdr:rowOff>129540</xdr:rowOff>
    </xdr:from>
    <xdr:to>
      <xdr:col>18</xdr:col>
      <xdr:colOff>0</xdr:colOff>
      <xdr:row>24</xdr:row>
      <xdr:rowOff>160020</xdr:rowOff>
    </xdr:to>
    <xdr:sp macro="" textlink="'Pivot Table'!B7">
      <xdr:nvSpPr>
        <xdr:cNvPr id="37" name="Metin kutusu 36">
          <a:extLst>
            <a:ext uri="{FF2B5EF4-FFF2-40B4-BE49-F238E27FC236}">
              <a16:creationId xmlns:a16="http://schemas.microsoft.com/office/drawing/2014/main" id="{177B63BF-A3BA-29E9-25C4-DB221A2E88EE}"/>
            </a:ext>
          </a:extLst>
        </xdr:cNvPr>
        <xdr:cNvSpPr txBox="1"/>
      </xdr:nvSpPr>
      <xdr:spPr>
        <a:xfrm>
          <a:off x="9753600" y="4152900"/>
          <a:ext cx="1219200" cy="39624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E71206A7-FB26-4BDD-BAD8-F76B5FBCAAC0}" type="TxLink">
            <a:rPr lang="en-US" sz="1800" b="1" i="0" u="none" strike="noStrike">
              <a:solidFill>
                <a:schemeClr val="tx1"/>
              </a:solidFill>
              <a:latin typeface="Calibri"/>
              <a:cs typeface="Calibri"/>
            </a:rPr>
            <a:pPr algn="ctr"/>
            <a:t>85</a:t>
          </a:fld>
          <a:endParaRPr lang="tr-TR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0</xdr:colOff>
      <xdr:row>19</xdr:row>
      <xdr:rowOff>22860</xdr:rowOff>
    </xdr:from>
    <xdr:to>
      <xdr:col>23</xdr:col>
      <xdr:colOff>0</xdr:colOff>
      <xdr:row>26</xdr:row>
      <xdr:rowOff>0</xdr:rowOff>
    </xdr:to>
    <xdr:sp macro="" textlink="">
      <xdr:nvSpPr>
        <xdr:cNvPr id="38" name="Dikdörtgen 37">
          <a:extLst>
            <a:ext uri="{FF2B5EF4-FFF2-40B4-BE49-F238E27FC236}">
              <a16:creationId xmlns:a16="http://schemas.microsoft.com/office/drawing/2014/main" id="{C8E774E1-638F-B6D3-888A-3A3A284C6C14}"/>
            </a:ext>
          </a:extLst>
        </xdr:cNvPr>
        <xdr:cNvSpPr/>
      </xdr:nvSpPr>
      <xdr:spPr>
        <a:xfrm>
          <a:off x="12192000" y="3497580"/>
          <a:ext cx="1828800" cy="125730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20</xdr:col>
      <xdr:colOff>0</xdr:colOff>
      <xdr:row>20</xdr:row>
      <xdr:rowOff>0</xdr:rowOff>
    </xdr:from>
    <xdr:to>
      <xdr:col>22</xdr:col>
      <xdr:colOff>358140</xdr:colOff>
      <xdr:row>21</xdr:row>
      <xdr:rowOff>22860</xdr:rowOff>
    </xdr:to>
    <xdr:sp macro="" textlink="">
      <xdr:nvSpPr>
        <xdr:cNvPr id="39" name="Metin kutusu 38">
          <a:extLst>
            <a:ext uri="{FF2B5EF4-FFF2-40B4-BE49-F238E27FC236}">
              <a16:creationId xmlns:a16="http://schemas.microsoft.com/office/drawing/2014/main" id="{A19CAF47-9A62-E5E6-C556-FE854AF9CA9E}"/>
            </a:ext>
          </a:extLst>
        </xdr:cNvPr>
        <xdr:cNvSpPr txBox="1"/>
      </xdr:nvSpPr>
      <xdr:spPr>
        <a:xfrm>
          <a:off x="12192000" y="3657600"/>
          <a:ext cx="1577340" cy="20574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100">
              <a:solidFill>
                <a:schemeClr val="tx1"/>
              </a:solidFill>
            </a:rPr>
            <a:t>Toplam</a:t>
          </a:r>
          <a:r>
            <a:rPr lang="tr-TR" sz="1100" baseline="0">
              <a:solidFill>
                <a:schemeClr val="tx1"/>
              </a:solidFill>
            </a:rPr>
            <a:t> Antalya Şehri</a:t>
          </a:r>
          <a:endParaRPr lang="tr-TR" sz="1100">
            <a:solidFill>
              <a:schemeClr val="tx1"/>
            </a:solidFill>
          </a:endParaRPr>
        </a:p>
        <a:p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0</xdr:colOff>
      <xdr:row>22</xdr:row>
      <xdr:rowOff>152400</xdr:rowOff>
    </xdr:from>
    <xdr:to>
      <xdr:col>22</xdr:col>
      <xdr:colOff>0</xdr:colOff>
      <xdr:row>25</xdr:row>
      <xdr:rowOff>0</xdr:rowOff>
    </xdr:to>
    <xdr:sp macro="" textlink="'Pivot Table'!B9">
      <xdr:nvSpPr>
        <xdr:cNvPr id="40" name="Metin kutusu 39">
          <a:extLst>
            <a:ext uri="{FF2B5EF4-FFF2-40B4-BE49-F238E27FC236}">
              <a16:creationId xmlns:a16="http://schemas.microsoft.com/office/drawing/2014/main" id="{3EDAFC92-C9F8-7B8D-8C65-57646F4AB3C6}"/>
            </a:ext>
          </a:extLst>
        </xdr:cNvPr>
        <xdr:cNvSpPr txBox="1"/>
      </xdr:nvSpPr>
      <xdr:spPr>
        <a:xfrm>
          <a:off x="12192000" y="4175760"/>
          <a:ext cx="1219200" cy="39624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37237C8-1C4F-47CC-954A-FFEFC3D28C25}" type="TxLink">
            <a:rPr lang="en-US" sz="1800" b="1" i="0" u="none" strike="noStrike">
              <a:solidFill>
                <a:schemeClr val="tx1"/>
              </a:solidFill>
              <a:latin typeface="Calibri"/>
              <a:cs typeface="Calibri"/>
            </a:rPr>
            <a:pPr algn="ctr"/>
            <a:t>83</a:t>
          </a:fld>
          <a:endParaRPr lang="tr-TR" sz="1800" b="1">
            <a:solidFill>
              <a:schemeClr val="tx1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cer" refreshedDate="44840.771080787039" createdVersion="8" refreshedVersion="8" minRefreshableVersion="3" recordCount="913" xr:uid="{FB28D43C-BAC6-4C3B-87FE-07EFA5EDFE87}">
  <cacheSource type="worksheet">
    <worksheetSource ref="A1:G914" sheet="Siparişler"/>
  </cacheSource>
  <cacheFields count="8">
    <cacheField name="Tarih Saat" numFmtId="22">
      <sharedItems containsSemiMixedTypes="0" containsNonDate="0" containsDate="1" containsString="0" minDate="2020-01-01T08:43:00" maxDate="2020-12-27T22:21:00"/>
    </cacheField>
    <cacheField name="İşlem Kodu" numFmtId="0">
      <sharedItems/>
    </cacheField>
    <cacheField name="İsim" numFmtId="0">
      <sharedItems/>
    </cacheField>
    <cacheField name="Soyisim" numFmtId="0">
      <sharedItems/>
    </cacheField>
    <cacheField name="Şehir" numFmtId="0">
      <sharedItems count="9">
        <s v="Bursa"/>
        <s v="İzmir"/>
        <s v="Uşak"/>
        <s v="Trabzon"/>
        <s v="Konya"/>
        <s v="istnbl"/>
        <s v="Ankara"/>
        <s v="Antalya"/>
        <s v="Bolu"/>
      </sharedItems>
    </cacheField>
    <cacheField name="Ürün" numFmtId="0">
      <sharedItems/>
    </cacheField>
    <cacheField name="Adet" numFmtId="0">
      <sharedItems containsSemiMixedTypes="0" containsString="0" containsNumber="1" containsInteger="1" minValue="3" maxValue="10"/>
    </cacheField>
    <cacheField name="Duru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cer" refreshedDate="44840.771714814815" createdVersion="8" refreshedVersion="8" minRefreshableVersion="3" recordCount="913" xr:uid="{9114A019-C1DC-4A8F-BCE7-9E51EFAFB9FB}">
  <cacheSource type="worksheet">
    <worksheetSource name="Tablo1"/>
  </cacheSource>
  <cacheFields count="9">
    <cacheField name="Tarih Saat" numFmtId="22">
      <sharedItems containsSemiMixedTypes="0" containsNonDate="0" containsDate="1" containsString="0" minDate="2020-01-01T08:43:00" maxDate="2020-12-27T22:21:00" count="912">
        <d v="2020-05-08T22:06:00"/>
        <d v="2020-05-27T20:09:00"/>
        <d v="2020-10-02T22:01:00"/>
        <d v="2020-10-03T10:28:00"/>
        <d v="2020-09-03T16:27:00"/>
        <d v="2020-11-16T19:24:00"/>
        <d v="2020-12-11T22:07:00"/>
        <d v="2020-12-02T22:55:00"/>
        <d v="2020-09-12T17:41:00"/>
        <d v="2020-10-10T11:20:00"/>
        <d v="2020-06-19T13:20:00"/>
        <d v="2020-09-26T13:01:00"/>
        <d v="2020-04-16T22:46:00"/>
        <d v="2020-02-23T12:58:00"/>
        <d v="2020-09-20T22:21:00"/>
        <d v="2020-06-03T14:48:00"/>
        <d v="2020-04-28T22:04:00"/>
        <d v="2020-10-15T15:22:00"/>
        <d v="2020-03-02T22:26:00"/>
        <d v="2020-02-22T22:24:00"/>
        <d v="2020-11-06T19:56:00"/>
        <d v="2020-09-28T13:52:00"/>
        <d v="2020-02-20T18:34:00"/>
        <d v="2020-06-16T10:34:00"/>
        <d v="2020-01-22T18:45:00"/>
        <d v="2020-11-12T14:27:00"/>
        <d v="2020-06-14T16:54:00"/>
        <d v="2020-06-19T22:22:00"/>
        <d v="2020-01-08T16:22:00"/>
        <d v="2020-09-05T17:46:00"/>
        <d v="2020-03-20T16:32:00"/>
        <d v="2020-12-21T14:55:00"/>
        <d v="2020-06-26T16:00:00"/>
        <d v="2020-02-12T09:53:00"/>
        <d v="2020-04-22T08:24:00"/>
        <d v="2020-04-14T15:49:00"/>
        <d v="2020-02-14T15:45:00"/>
        <d v="2020-02-22T18:43:00"/>
        <d v="2020-05-07T09:40:00"/>
        <d v="2020-11-12T10:57:00"/>
        <d v="2020-06-18T15:43:00"/>
        <d v="2020-08-23T12:06:00"/>
        <d v="2020-04-08T16:25:00"/>
        <d v="2020-01-12T13:13:00"/>
        <d v="2020-11-13T22:32:00"/>
        <d v="2020-01-13T15:43:00"/>
        <d v="2020-08-24T09:47:00"/>
        <d v="2020-08-09T13:58:00"/>
        <d v="2020-01-08T10:47:00"/>
        <d v="2020-08-27T21:07:00"/>
        <d v="2020-04-13T11:12:00"/>
        <d v="2020-05-22T17:39:00"/>
        <d v="2020-10-24T20:00:00"/>
        <d v="2020-11-14T16:17:00"/>
        <d v="2020-10-06T19:08:00"/>
        <d v="2020-03-21T18:10:00"/>
        <d v="2020-03-05T13:28:00"/>
        <d v="2020-05-10T13:33:00"/>
        <d v="2020-10-26T09:29:00"/>
        <d v="2020-09-08T17:41:00"/>
        <d v="2020-09-23T12:38:00"/>
        <d v="2020-03-23T14:54:00"/>
        <d v="2020-01-06T16:18:00"/>
        <d v="2020-11-24T08:12:00"/>
        <d v="2020-02-28T16:48:00"/>
        <d v="2020-03-01T13:30:00"/>
        <d v="2020-08-23T19:54:00"/>
        <d v="2020-06-23T22:00:00"/>
        <d v="2020-10-19T14:18:00"/>
        <d v="2020-11-16T08:25:00"/>
        <d v="2020-11-16T14:09:00"/>
        <d v="2020-12-14T20:36:00"/>
        <d v="2020-09-12T14:16:00"/>
        <d v="2020-08-24T13:13:00"/>
        <d v="2020-11-21T22:41:00"/>
        <d v="2020-02-24T16:50:00"/>
        <d v="2020-05-12T22:38:00"/>
        <d v="2020-12-05T10:04:00"/>
        <d v="2020-08-19T14:41:00"/>
        <d v="2020-07-01T08:37:00"/>
        <d v="2020-12-20T09:59:00"/>
        <d v="2020-08-25T09:14:00"/>
        <d v="2020-02-16T12:00:00"/>
        <d v="2020-02-02T15:27:00"/>
        <d v="2020-11-06T13:45:00"/>
        <d v="2020-09-12T11:43:00"/>
        <d v="2020-02-04T11:08:00"/>
        <d v="2020-05-03T18:31:00"/>
        <d v="2020-09-19T09:56:00"/>
        <d v="2020-07-16T14:45:00"/>
        <d v="2020-11-16T18:03:00"/>
        <d v="2020-01-07T08:43:00"/>
        <d v="2020-09-09T13:05:00"/>
        <d v="2020-06-17T22:01:00"/>
        <d v="2020-08-28T14:47:00"/>
        <d v="2020-11-12T15:05:00"/>
        <d v="2020-02-02T20:52:00"/>
        <d v="2020-08-13T12:25:00"/>
        <d v="2020-10-08T12:15:00"/>
        <d v="2020-01-06T21:03:00"/>
        <d v="2020-03-16T12:56:00"/>
        <d v="2020-05-17T19:15:00"/>
        <d v="2020-10-22T12:35:00"/>
        <d v="2020-12-08T08:07:00"/>
        <d v="2020-03-09T17:04:00"/>
        <d v="2020-06-14T20:50:00"/>
        <d v="2020-03-02T09:15:00"/>
        <d v="2020-11-16T21:49:00"/>
        <d v="2020-07-03T14:34:00"/>
        <d v="2020-05-27T19:35:00"/>
        <d v="2020-01-24T11:04:00"/>
        <d v="2020-07-24T09:04:00"/>
        <d v="2020-03-03T16:09:00"/>
        <d v="2020-03-18T12:58:00"/>
        <d v="2020-08-09T18:22:00"/>
        <d v="2020-07-10T18:37:00"/>
        <d v="2020-10-10T22:30:00"/>
        <d v="2020-02-05T13:08:00"/>
        <d v="2020-01-15T10:13:00"/>
        <d v="2020-01-28T16:27:00"/>
        <d v="2020-01-26T12:52:00"/>
        <d v="2020-03-22T17:57:00"/>
        <d v="2020-10-02T19:29:00"/>
        <d v="2020-04-17T17:02:00"/>
        <d v="2020-09-14T11:20:00"/>
        <d v="2020-08-19T20:18:00"/>
        <d v="2020-01-09T12:17:00"/>
        <d v="2020-11-14T08:25:00"/>
        <d v="2020-11-24T10:34:00"/>
        <d v="2020-02-11T12:39:00"/>
        <d v="2020-09-23T18:30:00"/>
        <d v="2020-03-28T08:23:00"/>
        <d v="2020-03-23T13:10:00"/>
        <d v="2020-07-03T11:58:00"/>
        <d v="2020-06-21T16:17:00"/>
        <d v="2020-06-24T09:52:00"/>
        <d v="2020-12-16T21:57:00"/>
        <d v="2020-02-27T14:07:00"/>
        <d v="2020-09-21T14:46:00"/>
        <d v="2020-01-20T18:53:00"/>
        <d v="2020-11-28T22:04:00"/>
        <d v="2020-06-16T13:27:00"/>
        <d v="2020-01-17T08:44:00"/>
        <d v="2020-06-26T16:08:00"/>
        <d v="2020-12-26T21:08:00"/>
        <d v="2020-04-28T15:48:00"/>
        <d v="2020-06-15T17:37:00"/>
        <d v="2020-11-07T22:29:00"/>
        <d v="2020-02-20T17:08:00"/>
        <d v="2020-05-23T21:44:00"/>
        <d v="2020-05-12T13:24:00"/>
        <d v="2020-05-19T21:17:00"/>
        <d v="2020-06-17T15:43:00"/>
        <d v="2020-05-01T08:33:00"/>
        <d v="2020-09-25T09:41:00"/>
        <d v="2020-12-26T21:14:00"/>
        <d v="2020-11-06T20:24:00"/>
        <d v="2020-10-15T09:59:00"/>
        <d v="2020-07-21T17:05:00"/>
        <d v="2020-11-25T21:18:00"/>
        <d v="2020-12-02T21:59:00"/>
        <d v="2020-07-07T09:48:00"/>
        <d v="2020-05-17T16:12:00"/>
        <d v="2020-04-15T22:11:00"/>
        <d v="2020-09-14T11:59:00"/>
        <d v="2020-10-01T08:43:00"/>
        <d v="2020-05-19T17:45:00"/>
        <d v="2020-03-21T09:14:00"/>
        <d v="2020-01-13T13:33:00"/>
        <d v="2020-12-22T14:31:00"/>
        <d v="2020-02-12T08:52:00"/>
        <d v="2020-10-01T09:32:00"/>
        <d v="2020-07-21T13:48:00"/>
        <d v="2020-02-26T14:49:00"/>
        <d v="2020-01-05T17:01:00"/>
        <d v="2020-09-26T20:26:00"/>
        <d v="2020-12-16T08:19:00"/>
        <d v="2020-05-05T09:30:00"/>
        <d v="2020-04-07T18:25:00"/>
        <d v="2020-11-13T18:01:00"/>
        <d v="2020-01-10T18:54:00"/>
        <d v="2020-01-27T16:29:00"/>
        <d v="2020-03-17T08:03:00"/>
        <d v="2020-10-02T20:07:00"/>
        <d v="2020-12-03T20:23:00"/>
        <d v="2020-09-24T08:45:00"/>
        <d v="2020-09-18T22:10:00"/>
        <d v="2020-08-21T09:34:00"/>
        <d v="2020-10-26T17:24:00"/>
        <d v="2020-02-25T08:51:00"/>
        <d v="2020-11-27T20:30:00"/>
        <d v="2020-06-04T12:36:00"/>
        <d v="2020-08-21T17:42:00"/>
        <d v="2020-04-09T19:19:00"/>
        <d v="2020-09-10T19:07:00"/>
        <d v="2020-01-11T11:02:00"/>
        <d v="2020-01-08T09:28:00"/>
        <d v="2020-03-21T16:43:00"/>
        <d v="2020-02-24T21:56:00"/>
        <d v="2020-07-23T11:50:00"/>
        <d v="2020-02-13T11:41:00"/>
        <d v="2020-07-27T21:36:00"/>
        <d v="2020-09-25T13:06:00"/>
        <d v="2020-05-26T21:57:00"/>
        <d v="2020-05-09T16:22:00"/>
        <d v="2020-06-08T17:12:00"/>
        <d v="2020-06-23T09:54:00"/>
        <d v="2020-06-06T13:14:00"/>
        <d v="2020-04-15T17:29:00"/>
        <d v="2020-09-03T15:18:00"/>
        <d v="2020-02-13T10:31:00"/>
        <d v="2020-11-05T12:07:00"/>
        <d v="2020-03-15T08:28:00"/>
        <d v="2020-04-15T21:08:00"/>
        <d v="2020-11-18T08:44:00"/>
        <d v="2020-12-02T22:22:00"/>
        <d v="2020-03-15T16:11:00"/>
        <d v="2020-04-05T17:18:00"/>
        <d v="2020-05-23T08:13:00"/>
        <d v="2020-06-27T22:07:00"/>
        <d v="2020-09-16T08:13:00"/>
        <d v="2020-12-08T17:12:00"/>
        <d v="2020-11-26T22:52:00"/>
        <d v="2020-04-02T15:49:00"/>
        <d v="2020-01-27T15:18:00"/>
        <d v="2020-09-02T16:36:00"/>
        <d v="2020-06-02T12:21:00"/>
        <d v="2020-11-11T16:09:00"/>
        <d v="2020-02-21T19:32:00"/>
        <d v="2020-08-14T09:24:00"/>
        <d v="2020-02-27T22:37:00"/>
        <d v="2020-05-05T14:23:00"/>
        <d v="2020-01-08T11:59:00"/>
        <d v="2020-04-17T08:05:00"/>
        <d v="2020-10-17T15:57:00"/>
        <d v="2020-11-14T19:44:00"/>
        <d v="2020-03-09T11:16:00"/>
        <d v="2020-02-05T19:19:00"/>
        <d v="2020-07-12T16:11:00"/>
        <d v="2020-06-18T12:54:00"/>
        <d v="2020-04-22T09:08:00"/>
        <d v="2020-01-01T20:13:00"/>
        <d v="2020-10-27T13:56:00"/>
        <d v="2020-01-06T16:37:00"/>
        <d v="2020-11-19T08:57:00"/>
        <d v="2020-04-06T10:08:00"/>
        <d v="2020-05-25T20:46:00"/>
        <d v="2020-07-22T08:25:00"/>
        <d v="2020-12-22T15:06:00"/>
        <d v="2020-09-19T13:28:00"/>
        <d v="2020-07-28T17:22:00"/>
        <d v="2020-06-17T20:40:00"/>
        <d v="2020-06-06T09:45:00"/>
        <d v="2020-01-24T18:50:00"/>
        <d v="2020-04-11T17:13:00"/>
        <d v="2020-08-20T20:25:00"/>
        <d v="2020-07-28T21:15:00"/>
        <d v="2020-07-14T21:07:00"/>
        <d v="2020-01-16T16:45:00"/>
        <d v="2020-04-26T21:12:00"/>
        <d v="2020-01-22T15:12:00"/>
        <d v="2020-05-28T15:33:00"/>
        <d v="2020-04-16T08:36:00"/>
        <d v="2020-05-20T14:24:00"/>
        <d v="2020-05-10T13:03:00"/>
        <d v="2020-10-01T09:22:00"/>
        <d v="2020-04-12T10:24:00"/>
        <d v="2020-04-23T11:59:00"/>
        <d v="2020-06-12T15:21:00"/>
        <d v="2020-11-15T10:55:00"/>
        <d v="2020-06-23T18:08:00"/>
        <d v="2020-07-25T15:50:00"/>
        <d v="2020-12-06T10:48:00"/>
        <d v="2020-06-21T08:26:00"/>
        <d v="2020-09-19T12:04:00"/>
        <d v="2020-10-25T19:07:00"/>
        <d v="2020-01-08T20:54:00"/>
        <d v="2020-10-06T19:20:00"/>
        <d v="2020-07-12T08:33:00"/>
        <d v="2020-04-11T14:35:00"/>
        <d v="2020-01-21T12:51:00"/>
        <d v="2020-10-20T14:59:00"/>
        <d v="2020-02-17T17:23:00"/>
        <d v="2020-07-26T12:54:00"/>
        <d v="2020-09-16T09:44:00"/>
        <d v="2020-07-03T09:13:00"/>
        <d v="2020-06-21T08:04:00"/>
        <d v="2020-02-16T12:08:00"/>
        <d v="2020-04-21T08:50:00"/>
        <d v="2020-12-08T14:54:00"/>
        <d v="2020-06-18T11:48:00"/>
        <d v="2020-11-16T09:15:00"/>
        <d v="2020-07-07T16:37:00"/>
        <d v="2020-09-28T19:44:00"/>
        <d v="2020-02-22T21:38:00"/>
        <d v="2020-04-15T21:45:00"/>
        <d v="2020-05-09T11:27:00"/>
        <d v="2020-03-17T12:42:00"/>
        <d v="2020-09-20T17:21:00"/>
        <d v="2020-02-17T11:06:00"/>
        <d v="2020-05-13T10:50:00"/>
        <d v="2020-02-27T14:14:00"/>
        <d v="2020-05-23T20:18:00"/>
        <d v="2020-07-12T10:40:00"/>
        <d v="2020-01-18T22:20:00"/>
        <d v="2020-11-15T21:29:00"/>
        <d v="2020-03-24T10:50:00"/>
        <d v="2020-09-25T21:19:00"/>
        <d v="2020-02-12T17:09:00"/>
        <d v="2020-07-15T08:09:00"/>
        <d v="2020-04-03T15:32:00"/>
        <d v="2020-02-20T22:10:00"/>
        <d v="2020-07-28T08:05:00"/>
        <d v="2020-05-13T11:03:00"/>
        <d v="2020-11-14T22:23:00"/>
        <d v="2020-09-06T15:42:00"/>
        <d v="2020-02-12T16:42:00"/>
        <d v="2020-09-08T20:09:00"/>
        <d v="2020-06-02T09:35:00"/>
        <d v="2020-07-26T20:08:00"/>
        <d v="2020-05-25T21:03:00"/>
        <d v="2020-04-20T15:24:00"/>
        <d v="2020-08-15T19:44:00"/>
        <d v="2020-11-24T22:19:00"/>
        <d v="2020-06-27T08:13:00"/>
        <d v="2020-03-13T19:28:00"/>
        <d v="2020-12-10T14:51:00"/>
        <d v="2020-06-18T22:30:00"/>
        <d v="2020-12-27T12:07:00"/>
        <d v="2020-12-21T14:46:00"/>
        <d v="2020-10-16T16:50:00"/>
        <d v="2020-04-03T15:49:00"/>
        <d v="2020-09-05T19:40:00"/>
        <d v="2020-07-21T08:46:00"/>
        <d v="2020-10-15T15:45:00"/>
        <d v="2020-10-25T21:49:00"/>
        <d v="2020-11-18T13:45:00"/>
        <d v="2020-09-02T12:53:00"/>
        <d v="2020-01-22T09:26:00"/>
        <d v="2020-09-22T08:57:00"/>
        <d v="2020-10-14T15:56:00"/>
        <d v="2020-01-19T08:14:00"/>
        <d v="2020-08-19T13:49:00"/>
        <d v="2020-11-05T12:11:00"/>
        <d v="2020-12-07T17:46:00"/>
        <d v="2020-11-15T22:48:00"/>
        <d v="2020-11-13T19:27:00"/>
        <d v="2020-05-09T12:20:00"/>
        <d v="2020-08-16T17:45:00"/>
        <d v="2020-07-27T15:50:00"/>
        <d v="2020-04-11T11:09:00"/>
        <d v="2020-10-08T18:33:00"/>
        <d v="2020-06-15T09:07:00"/>
        <d v="2020-01-13T20:08:00"/>
        <d v="2020-03-23T16:34:00"/>
        <d v="2020-10-22T11:25:00"/>
        <d v="2020-09-20T14:57:00"/>
        <d v="2020-09-12T10:33:00"/>
        <d v="2020-12-11T22:48:00"/>
        <d v="2020-01-10T10:16:00"/>
        <d v="2020-11-25T11:30:00"/>
        <d v="2020-08-02T12:04:00"/>
        <d v="2020-06-07T18:48:00"/>
        <d v="2020-04-28T16:12:00"/>
        <d v="2020-10-04T10:00:00"/>
        <d v="2020-11-03T21:22:00"/>
        <d v="2020-04-22T18:26:00"/>
        <d v="2020-11-14T19:54:00"/>
        <d v="2020-10-12T18:35:00"/>
        <d v="2020-11-16T09:59:00"/>
        <d v="2020-11-01T19:44:00"/>
        <d v="2020-09-25T13:32:00"/>
        <d v="2020-01-18T15:50:00"/>
        <d v="2020-07-26T17:19:00"/>
        <d v="2020-10-07T20:08:00"/>
        <d v="2020-12-23T13:24:00"/>
        <d v="2020-03-27T11:58:00"/>
        <d v="2020-01-20T14:48:00"/>
        <d v="2020-10-04T09:03:00"/>
        <d v="2020-11-13T17:28:00"/>
        <d v="2020-05-23T11:08:00"/>
        <d v="2020-03-27T13:19:00"/>
        <d v="2020-02-02T16:01:00"/>
        <d v="2020-02-07T14:39:00"/>
        <d v="2020-02-12T16:32:00"/>
        <d v="2020-01-17T22:48:00"/>
        <d v="2020-06-10T12:46:00"/>
        <d v="2020-05-01T09:22:00"/>
        <d v="2020-10-08T13:14:00"/>
        <d v="2020-07-23T19:03:00"/>
        <d v="2020-11-13T16:02:00"/>
        <d v="2020-11-10T11:31:00"/>
        <d v="2020-07-10T18:53:00"/>
        <d v="2020-02-22T13:49:00"/>
        <d v="2020-02-21T13:07:00"/>
        <d v="2020-01-26T18:30:00"/>
        <d v="2020-11-24T22:08:00"/>
        <d v="2020-09-11T16:20:00"/>
        <d v="2020-02-23T16:55:00"/>
        <d v="2020-08-09T11:49:00"/>
        <d v="2020-11-15T22:00:00"/>
        <d v="2020-05-07T22:13:00"/>
        <d v="2020-08-03T21:25:00"/>
        <d v="2020-12-08T17:35:00"/>
        <d v="2020-11-27T13:59:00"/>
        <d v="2020-06-22T08:19:00"/>
        <d v="2020-12-10T16:47:00"/>
        <d v="2020-07-11T21:01:00"/>
        <d v="2020-10-11T22:06:00"/>
        <d v="2020-05-05T09:01:00"/>
        <d v="2020-06-25T11:48:00"/>
        <d v="2020-01-10T16:16:00"/>
        <d v="2020-03-24T20:09:00"/>
        <d v="2020-02-01T22:21:00"/>
        <d v="2020-02-26T08:20:00"/>
        <d v="2020-10-27T16:11:00"/>
        <d v="2020-10-04T10:52:00"/>
        <d v="2020-02-26T19:59:00"/>
        <d v="2020-03-02T10:49:00"/>
        <d v="2020-01-19T08:12:00"/>
        <d v="2020-04-09T21:46:00"/>
        <d v="2020-12-18T16:01:00"/>
        <d v="2020-06-26T09:47:00"/>
        <d v="2020-03-23T11:55:00"/>
        <d v="2020-06-24T11:01:00"/>
        <d v="2020-08-10T08:40:00"/>
        <d v="2020-07-09T20:29:00"/>
        <d v="2020-05-05T14:33:00"/>
        <d v="2020-12-14T10:23:00"/>
        <d v="2020-04-11T19:04:00"/>
        <d v="2020-03-28T14:18:00"/>
        <d v="2020-02-26T10:08:00"/>
        <d v="2020-06-09T08:38:00"/>
        <d v="2020-10-03T14:08:00"/>
        <d v="2020-10-24T11:07:00"/>
        <d v="2020-08-12T08:59:00"/>
        <d v="2020-05-07T17:38:00"/>
        <d v="2020-08-27T13:25:00"/>
        <d v="2020-04-12T21:11:00"/>
        <d v="2020-07-14T14:07:00"/>
        <d v="2020-03-11T17:51:00"/>
        <d v="2020-10-10T15:30:00"/>
        <d v="2020-12-16T19:50:00"/>
        <d v="2020-08-28T12:20:00"/>
        <d v="2020-11-15T11:29:00"/>
        <d v="2020-08-04T14:29:00"/>
        <d v="2020-09-15T22:21:00"/>
        <d v="2020-09-26T20:09:00"/>
        <d v="2020-01-04T11:40:00"/>
        <d v="2020-10-03T19:54:00"/>
        <d v="2020-02-19T21:39:00"/>
        <d v="2020-11-14T19:08:00"/>
        <d v="2020-09-22T21:42:00"/>
        <d v="2020-03-11T11:20:00"/>
        <d v="2020-10-28T08:15:00"/>
        <d v="2020-07-14T20:31:00"/>
        <d v="2020-06-23T14:31:00"/>
        <d v="2020-08-01T17:54:00"/>
        <d v="2020-04-28T20:16:00"/>
        <d v="2020-05-23T21:35:00"/>
        <d v="2020-11-13T17:09:00"/>
        <d v="2020-04-04T13:00:00"/>
        <d v="2020-05-02T15:31:00"/>
        <d v="2020-06-10T09:28:00"/>
        <d v="2020-08-02T22:17:00"/>
        <d v="2020-09-23T18:48:00"/>
        <d v="2020-11-20T20:32:00"/>
        <d v="2020-10-23T17:43:00"/>
        <d v="2020-09-06T11:58:00"/>
        <d v="2020-02-12T18:34:00"/>
        <d v="2020-09-18T08:10:00"/>
        <d v="2020-11-14T20:46:00"/>
        <d v="2020-10-20T15:09:00"/>
        <d v="2020-02-26T12:29:00"/>
        <d v="2020-02-19T09:42:00"/>
        <d v="2020-12-18T19:17:00"/>
        <d v="2020-11-09T09:45:00"/>
        <d v="2020-11-07T19:13:00"/>
        <d v="2020-04-24T15:14:00"/>
        <d v="2020-04-12T22:18:00"/>
        <d v="2020-03-03T09:23:00"/>
        <d v="2020-09-08T19:24:00"/>
        <d v="2020-03-17T14:41:00"/>
        <d v="2020-08-04T16:47:00"/>
        <d v="2020-09-11T19:11:00"/>
        <d v="2020-08-08T09:19:00"/>
        <d v="2020-01-24T13:57:00"/>
        <d v="2020-03-05T09:24:00"/>
        <d v="2020-11-20T20:01:00"/>
        <d v="2020-12-24T10:34:00"/>
        <d v="2020-04-28T09:47:00"/>
        <d v="2020-04-14T16:34:00"/>
        <d v="2020-06-28T15:40:00"/>
        <d v="2020-03-01T14:26:00"/>
        <d v="2020-04-24T19:57:00"/>
        <d v="2020-11-26T21:27:00"/>
        <d v="2020-10-01T11:15:00"/>
        <d v="2020-07-06T09:38:00"/>
        <d v="2020-07-18T18:39:00"/>
        <d v="2020-07-13T10:41:00"/>
        <d v="2020-05-21T15:09:00"/>
        <d v="2020-05-04T09:08:00"/>
        <d v="2020-07-24T10:26:00"/>
        <d v="2020-05-24T18:02:00"/>
        <d v="2020-04-26T20:53:00"/>
        <d v="2020-06-15T22:18:00"/>
        <d v="2020-12-25T19:44:00"/>
        <d v="2020-10-20T11:37:00"/>
        <d v="2020-08-02T16:20:00"/>
        <d v="2020-12-17T12:30:00"/>
        <d v="2020-10-25T20:57:00"/>
        <d v="2020-07-26T19:56:00"/>
        <d v="2020-09-14T18:04:00"/>
        <d v="2020-11-28T12:01:00"/>
        <d v="2020-05-01T18:10:00"/>
        <d v="2020-08-09T11:26:00"/>
        <d v="2020-10-10T08:52:00"/>
        <d v="2020-04-18T12:07:00"/>
        <d v="2020-07-17T11:10:00"/>
        <d v="2020-07-11T22:29:00"/>
        <d v="2020-06-10T15:32:00"/>
        <d v="2020-08-07T22:40:00"/>
        <d v="2020-04-15T21:31:00"/>
        <d v="2020-03-23T09:24:00"/>
        <d v="2020-03-04T09:40:00"/>
        <d v="2020-08-10T10:20:00"/>
        <d v="2020-05-16T14:43:00"/>
        <d v="2020-03-07T20:42:00"/>
        <d v="2020-03-11T15:21:00"/>
        <d v="2020-09-16T20:39:00"/>
        <d v="2020-11-08T15:21:00"/>
        <d v="2020-04-22T12:18:00"/>
        <d v="2020-06-05T16:28:00"/>
        <d v="2020-02-05T16:29:00"/>
        <d v="2020-08-11T21:44:00"/>
        <d v="2020-10-05T17:03:00"/>
        <d v="2020-03-05T13:34:00"/>
        <d v="2020-08-21T10:01:00"/>
        <d v="2020-07-14T20:56:00"/>
        <d v="2020-12-26T21:15:00"/>
        <d v="2020-04-24T18:06:00"/>
        <d v="2020-06-05T21:09:00"/>
        <d v="2020-03-02T14:52:00"/>
        <d v="2020-04-06T21:25:00"/>
        <d v="2020-08-25T14:03:00"/>
        <d v="2020-05-17T18:50:00"/>
        <d v="2020-10-08T17:24:00"/>
        <d v="2020-09-18T09:34:00"/>
        <d v="2020-04-15T08:14:00"/>
        <d v="2020-11-27T17:45:00"/>
        <d v="2020-04-04T15:25:00"/>
        <d v="2020-12-07T20:51:00"/>
        <d v="2020-11-01T18:29:00"/>
        <d v="2020-01-05T22:20:00"/>
        <d v="2020-03-03T12:52:00"/>
        <d v="2020-03-04T13:23:00"/>
        <d v="2020-11-03T21:51:00"/>
        <d v="2020-01-01T09:31:00"/>
        <d v="2020-04-15T11:09:00"/>
        <d v="2020-04-12T21:18:00"/>
        <d v="2020-07-19T14:06:00"/>
        <d v="2020-12-22T17:58:00"/>
        <d v="2020-06-17T10:34:00"/>
        <d v="2020-01-08T15:58:00"/>
        <d v="2020-03-27T15:31:00"/>
        <d v="2020-09-05T15:09:00"/>
        <d v="2020-09-24T20:54:00"/>
        <d v="2020-07-23T21:44:00"/>
        <d v="2020-06-21T21:53:00"/>
        <d v="2020-05-03T09:30:00"/>
        <d v="2020-09-16T15:55:00"/>
        <d v="2020-11-18T10:00:00"/>
        <d v="2020-03-04T14:11:00"/>
        <d v="2020-11-11T15:06:00"/>
        <d v="2020-04-20T13:20:00"/>
        <d v="2020-05-02T16:44:00"/>
        <d v="2020-03-03T19:07:00"/>
        <d v="2020-03-14T14:33:00"/>
        <d v="2020-12-15T11:37:00"/>
        <d v="2020-06-17T12:39:00"/>
        <d v="2020-12-22T08:35:00"/>
        <d v="2020-07-03T12:57:00"/>
        <d v="2020-09-06T13:32:00"/>
        <d v="2020-12-13T09:30:00"/>
        <d v="2020-07-11T18:45:00"/>
        <d v="2020-02-25T08:43:00"/>
        <d v="2020-02-28T15:57:00"/>
        <d v="2020-04-06T10:56:00"/>
        <d v="2020-01-04T19:33:00"/>
        <d v="2020-07-09T12:48:00"/>
        <d v="2020-03-02T17:57:00"/>
        <d v="2020-12-17T21:44:00"/>
        <d v="2020-01-10T22:58:00"/>
        <d v="2020-02-16T10:29:00"/>
        <d v="2020-06-08T19:39:00"/>
        <d v="2020-08-09T11:14:00"/>
        <d v="2020-11-12T08:17:00"/>
        <d v="2020-04-11T12:18:00"/>
        <d v="2020-05-08T14:08:00"/>
        <d v="2020-01-09T12:32:00"/>
        <d v="2020-10-26T13:55:00"/>
        <d v="2020-09-26T18:42:00"/>
        <d v="2020-11-19T16:50:00"/>
        <d v="2020-06-12T17:51:00"/>
        <d v="2020-05-19T22:52:00"/>
        <d v="2020-04-16T14:38:00"/>
        <d v="2020-11-19T13:44:00"/>
        <d v="2020-03-01T11:39:00"/>
        <d v="2020-04-16T11:14:00"/>
        <d v="2020-10-14T13:44:00"/>
        <d v="2020-11-09T17:47:00"/>
        <d v="2020-01-27T19:48:00"/>
        <d v="2020-04-05T19:13:00"/>
        <d v="2020-09-25T11:51:00"/>
        <d v="2020-09-11T09:49:00"/>
        <d v="2020-05-18T19:45:00"/>
        <d v="2020-12-14T19:30:00"/>
        <d v="2020-04-22T11:04:00"/>
        <d v="2020-01-19T21:04:00"/>
        <d v="2020-08-20T17:25:00"/>
        <d v="2020-10-24T14:19:00"/>
        <d v="2020-09-07T15:26:00"/>
        <d v="2020-08-25T18:15:00"/>
        <d v="2020-01-01T08:43:00"/>
        <d v="2020-07-28T09:35:00"/>
        <d v="2020-10-27T21:16:00"/>
        <d v="2020-03-24T15:34:00"/>
        <d v="2020-10-08T20:57:00"/>
        <d v="2020-07-11T12:53:00"/>
        <d v="2020-12-19T11:50:00"/>
        <d v="2020-03-11T19:19:00"/>
        <d v="2020-12-04T21:47:00"/>
        <d v="2020-08-03T14:57:00"/>
        <d v="2020-01-11T20:34:00"/>
        <d v="2020-03-22T17:26:00"/>
        <d v="2020-02-05T19:25:00"/>
        <d v="2020-05-27T10:33:00"/>
        <d v="2020-03-05T20:16:00"/>
        <d v="2020-07-28T08:09:00"/>
        <d v="2020-04-23T14:11:00"/>
        <d v="2020-03-08T14:48:00"/>
        <d v="2020-05-25T13:35:00"/>
        <d v="2020-12-02T12:38:00"/>
        <d v="2020-05-26T16:32:00"/>
        <d v="2020-04-26T19:39:00"/>
        <d v="2020-01-20T20:08:00"/>
        <d v="2020-09-06T20:27:00"/>
        <d v="2020-02-02T20:07:00"/>
        <d v="2020-07-13T11:35:00"/>
        <d v="2020-02-12T14:40:00"/>
        <d v="2020-06-21T09:49:00"/>
        <d v="2020-11-08T12:54:00"/>
        <d v="2020-03-19T17:59:00"/>
        <d v="2020-04-20T11:37:00"/>
        <d v="2020-04-24T12:26:00"/>
        <d v="2020-08-14T13:21:00"/>
        <d v="2020-09-05T17:22:00"/>
        <d v="2020-05-16T11:52:00"/>
        <d v="2020-02-25T12:18:00"/>
        <d v="2020-01-25T19:54:00"/>
        <d v="2020-10-17T11:03:00"/>
        <d v="2020-09-19T08:14:00"/>
        <d v="2020-03-25T08:37:00"/>
        <d v="2020-07-23T22:25:00"/>
        <d v="2020-06-15T16:14:00"/>
        <d v="2020-08-28T08:30:00"/>
        <d v="2020-07-24T09:25:00"/>
        <d v="2020-12-27T10:52:00"/>
        <d v="2020-12-10T13:30:00"/>
        <d v="2020-02-04T13:16:00"/>
        <d v="2020-12-16T22:54:00"/>
        <d v="2020-05-27T17:14:00"/>
        <d v="2020-09-24T10:23:00"/>
        <d v="2020-11-16T20:15:00"/>
        <d v="2020-10-21T08:16:00"/>
        <d v="2020-05-26T11:18:00"/>
        <d v="2020-08-06T13:53:00"/>
        <d v="2020-07-07T12:26:00"/>
        <d v="2020-03-01T19:47:00"/>
        <d v="2020-03-04T15:13:00"/>
        <d v="2020-01-03T16:05:00"/>
        <d v="2020-05-17T19:29:00"/>
        <d v="2020-07-27T22:58:00"/>
        <d v="2020-04-27T08:32:00"/>
        <d v="2020-12-27T22:21:00"/>
        <d v="2020-04-19T14:53:00"/>
        <d v="2020-06-12T13:46:00"/>
        <d v="2020-01-07T14:40:00"/>
        <d v="2020-01-15T08:23:00"/>
        <d v="2020-08-06T13:50:00"/>
        <d v="2020-02-28T13:38:00"/>
        <d v="2020-07-12T18:57:00"/>
        <d v="2020-03-05T19:57:00"/>
        <d v="2020-12-02T18:36:00"/>
        <d v="2020-06-01T11:50:00"/>
        <d v="2020-03-11T18:12:00"/>
        <d v="2020-12-12T18:55:00"/>
        <d v="2020-04-24T12:36:00"/>
        <d v="2020-10-05T09:00:00"/>
        <d v="2020-09-26T14:11:00"/>
        <d v="2020-12-10T20:15:00"/>
        <d v="2020-03-23T11:06:00"/>
        <d v="2020-04-06T13:38:00"/>
        <d v="2020-12-13T14:18:00"/>
        <d v="2020-01-07T13:14:00"/>
        <d v="2020-03-27T20:20:00"/>
        <d v="2020-12-06T18:08:00"/>
        <d v="2020-11-01T09:20:00"/>
        <d v="2020-08-08T21:06:00"/>
        <d v="2020-09-10T22:02:00"/>
        <d v="2020-10-02T12:47:00"/>
        <d v="2020-09-16T16:53:00"/>
        <d v="2020-08-15T16:36:00"/>
        <d v="2020-03-15T20:43:00"/>
        <d v="2020-11-02T11:09:00"/>
        <d v="2020-07-03T15:59:00"/>
        <d v="2020-01-23T21:50:00"/>
        <d v="2020-03-19T09:52:00"/>
        <d v="2020-04-27T11:31:00"/>
        <d v="2020-10-07T17:55:00"/>
        <d v="2020-07-26T17:14:00"/>
        <d v="2020-02-27T21:04:00"/>
        <d v="2020-06-01T14:37:00"/>
        <d v="2020-02-06T20:23:00"/>
        <d v="2020-05-05T16:05:00"/>
        <d v="2020-03-12T11:13:00"/>
        <d v="2020-05-12T12:24:00"/>
        <d v="2020-07-07T14:11:00"/>
        <d v="2020-03-06T17:47:00"/>
        <d v="2020-12-22T13:04:00"/>
        <d v="2020-10-21T22:00:00"/>
        <d v="2020-09-20T22:50:00"/>
        <d v="2020-02-10T19:35:00"/>
        <d v="2020-07-26T15:44:00"/>
        <d v="2020-05-02T13:02:00"/>
        <d v="2020-04-02T15:00:00"/>
        <d v="2020-09-27T18:07:00"/>
        <d v="2020-09-24T17:46:00"/>
        <d v="2020-03-25T11:57:00"/>
        <d v="2020-02-07T15:40:00"/>
        <d v="2020-09-21T15:47:00"/>
        <d v="2020-02-15T13:55:00"/>
        <d v="2020-09-10T21:14:00"/>
        <d v="2020-12-22T19:59:00"/>
        <d v="2020-07-14T11:02:00"/>
        <d v="2020-06-15T10:18:00"/>
        <d v="2020-02-17T21:26:00"/>
        <d v="2020-01-19T12:49:00"/>
        <d v="2020-10-18T09:19:00"/>
        <d v="2020-11-10T16:19:00"/>
        <d v="2020-12-10T15:03:00"/>
        <d v="2020-03-14T10:34:00"/>
        <d v="2020-07-28T19:44:00"/>
        <d v="2020-08-23T11:30:00"/>
        <d v="2020-11-27T18:24:00"/>
        <d v="2020-11-09T14:05:00"/>
        <d v="2020-03-27T19:59:00"/>
        <d v="2020-09-23T13:36:00"/>
        <d v="2020-05-26T19:16:00"/>
        <d v="2020-10-23T14:14:00"/>
        <d v="2020-11-09T14:27:00"/>
        <d v="2020-05-08T18:01:00"/>
        <d v="2020-01-26T21:42:00"/>
        <d v="2020-02-02T20:16:00"/>
        <d v="2020-04-24T08:56:00"/>
        <d v="2020-02-10T22:10:00"/>
        <d v="2020-01-05T22:50:00"/>
        <d v="2020-02-21T16:40:00"/>
        <d v="2020-04-14T21:11:00"/>
        <d v="2020-07-03T09:27:00"/>
        <d v="2020-05-07T16:03:00"/>
        <d v="2020-02-15T08:23:00"/>
        <d v="2020-04-04T14:25:00"/>
        <d v="2020-08-25T11:26:00"/>
        <d v="2020-04-17T20:43:00"/>
        <d v="2020-09-03T12:27:00"/>
        <d v="2020-12-20T09:35:00"/>
        <d v="2020-09-10T20:02:00"/>
        <d v="2020-12-04T14:43:00"/>
        <d v="2020-04-23T17:51:00"/>
        <d v="2020-08-26T18:50:00"/>
        <d v="2020-02-12T15:48:00"/>
        <d v="2020-12-13T10:12:00"/>
        <d v="2020-11-08T20:56:00"/>
        <d v="2020-05-11T13:31:00"/>
        <d v="2020-04-24T22:36:00"/>
        <d v="2020-10-21T21:42:00"/>
        <d v="2020-08-05T13:51:00"/>
        <d v="2020-01-28T14:21:00"/>
        <d v="2020-07-10T20:21:00"/>
        <d v="2020-01-13T18:26:00"/>
        <d v="2020-05-27T18:08:00"/>
        <d v="2020-08-04T21:25:00"/>
        <d v="2020-05-03T11:52:00"/>
        <d v="2020-10-11T15:11:00"/>
        <d v="2020-05-19T17:33:00"/>
        <d v="2020-05-24T13:03:00"/>
        <d v="2020-12-11T11:39:00"/>
        <d v="2020-01-07T12:46:00"/>
        <d v="2020-06-22T09:24:00"/>
        <d v="2020-04-13T08:16:00"/>
        <d v="2020-12-02T10:49:00"/>
        <d v="2020-09-22T17:14:00"/>
        <d v="2020-02-04T19:26:00"/>
        <d v="2020-03-14T15:34:00"/>
        <d v="2020-11-02T18:37:00"/>
        <d v="2020-12-01T11:17:00"/>
        <d v="2020-05-01T15:57:00"/>
        <d v="2020-01-12T20:19:00"/>
        <d v="2020-04-27T14:24:00"/>
        <d v="2020-03-15T10:11:00"/>
        <d v="2020-04-14T08:57:00"/>
        <d v="2020-09-02T12:22:00"/>
        <d v="2020-09-14T19:56:00"/>
        <d v="2020-06-19T19:50:00"/>
        <d v="2020-07-09T15:54:00"/>
        <d v="2020-02-28T22:06:00"/>
        <d v="2020-05-09T15:49:00"/>
        <d v="2020-06-27T20:29:00"/>
        <d v="2020-07-06T13:23:00"/>
        <d v="2020-08-04T22:07:00"/>
        <d v="2020-02-07T14:35:00"/>
        <d v="2020-12-22T22:28:00"/>
        <d v="2020-12-03T16:48:00"/>
        <d v="2020-10-15T10:16:00"/>
        <d v="2020-11-12T16:31:00"/>
        <d v="2020-03-21T08:57:00"/>
        <d v="2020-08-04T11:18:00"/>
        <d v="2020-12-25T17:48:00"/>
        <d v="2020-11-14T20:53:00"/>
        <d v="2020-04-08T16:15:00"/>
        <d v="2020-04-18T10:47:00"/>
        <d v="2020-09-06T21:17:00"/>
        <d v="2020-06-17T17:43:00"/>
        <d v="2020-08-23T18:17:00"/>
        <d v="2020-12-05T22:13:00"/>
        <d v="2020-08-05T14:17:00"/>
        <d v="2020-04-05T12:01:00"/>
        <d v="2020-11-09T14:01:00"/>
        <d v="2020-06-24T20:04:00"/>
        <d v="2020-11-26T09:10:00"/>
        <d v="2020-09-27T16:28:00"/>
        <d v="2020-09-01T17:44:00"/>
        <d v="2020-02-19T10:53:00"/>
        <d v="2020-01-14T12:48:00"/>
        <d v="2020-02-12T22:38:00"/>
        <d v="2020-06-05T14:18:00"/>
        <d v="2020-06-15T08:25:00"/>
        <d v="2020-05-22T21:09:00"/>
        <d v="2020-12-20T12:49:00"/>
        <d v="2020-05-11T17:15:00"/>
        <d v="2020-02-15T22:36:00"/>
        <d v="2020-10-28T18:55:00"/>
        <d v="2020-10-26T19:40:00"/>
        <d v="2020-02-20T12:08:00"/>
        <d v="2020-01-24T08:19:00"/>
        <d v="2020-04-01T16:48:00"/>
        <d v="2020-02-26T17:13:00"/>
        <d v="2020-01-06T20:58:00"/>
        <d v="2020-02-05T15:56:00"/>
        <d v="2020-10-11T17:05:00"/>
        <d v="2020-11-09T10:22:00"/>
        <d v="2020-03-03T18:40:00"/>
        <d v="2020-07-15T21:56:00"/>
        <d v="2020-02-22T08:31:00"/>
        <d v="2020-01-27T21:13:00"/>
        <d v="2020-01-06T14:59:00"/>
        <d v="2020-04-17T20:23:00"/>
        <d v="2020-02-16T17:39:00"/>
        <d v="2020-11-21T21:31:00"/>
        <d v="2020-01-08T17:17:00"/>
        <d v="2020-03-06T21:32:00"/>
        <d v="2020-04-20T08:31:00"/>
        <d v="2020-09-27T19:12:00"/>
        <d v="2020-01-28T21:56:00"/>
        <d v="2020-08-12T15:16:00"/>
        <d v="2020-03-19T12:39:00"/>
        <d v="2020-06-13T12:57:00"/>
        <d v="2020-11-21T19:45:00"/>
        <d v="2020-02-26T21:26:00"/>
        <d v="2020-02-07T22:41:00"/>
        <d v="2020-04-27T09:52:00"/>
        <d v="2020-12-05T10:28:00"/>
        <d v="2020-02-27T12:21:00"/>
        <d v="2020-05-14T10:05:00"/>
        <d v="2020-11-04T22:37:00"/>
        <d v="2020-10-07T10:05:00"/>
        <d v="2020-07-18T12:22:00"/>
        <d v="2020-04-11T14:41:00"/>
        <d v="2020-08-27T22:27:00"/>
        <d v="2020-03-05T15:21:00"/>
        <d v="2020-06-08T18:36:00"/>
        <d v="2020-03-14T17:55:00"/>
        <d v="2020-06-20T10:54:00"/>
        <d v="2020-10-13T11:25:00"/>
        <d v="2020-03-14T13:03:00"/>
        <d v="2020-07-07T18:19:00"/>
        <d v="2020-04-03T18:52:00"/>
        <d v="2020-01-10T08:47:00"/>
        <d v="2020-01-20T17:42:00"/>
        <d v="2020-02-01T21:54:00"/>
        <d v="2020-06-26T20:07:00"/>
        <d v="2020-10-05T08:33:00"/>
        <d v="2020-10-11T20:46:00"/>
        <d v="2020-08-06T16:53:00"/>
        <d v="2020-02-27T09:56:00"/>
        <d v="2020-04-13T09:47:00"/>
        <d v="2020-11-11T17:09:00"/>
        <d v="2020-06-27T21:27:00"/>
        <d v="2020-04-28T11:56:00"/>
        <d v="2020-05-25T12:16:00"/>
        <d v="2020-06-19T20:18:00"/>
      </sharedItems>
      <fieldGroup par="8" base="0">
        <rangePr groupBy="days" startDate="2020-01-01T08:43:00" endDate="2020-12-27T22:21:00"/>
        <groupItems count="368">
          <s v="&lt;1.01.2020"/>
          <s v="1.Oca"/>
          <s v="2.Oca"/>
          <s v="3.Oca"/>
          <s v="4.Oca"/>
          <s v="5.Oca"/>
          <s v="6.Oca"/>
          <s v="7.Oca"/>
          <s v="8.Oca"/>
          <s v="9.Oca"/>
          <s v="10.Oca"/>
          <s v="11.Oca"/>
          <s v="12.Oca"/>
          <s v="13.Oca"/>
          <s v="14.Oca"/>
          <s v="15.Oca"/>
          <s v="16.Oca"/>
          <s v="17.Oca"/>
          <s v="18.Oca"/>
          <s v="19.Oca"/>
          <s v="20.Oca"/>
          <s v="21.Oca"/>
          <s v="22.Oca"/>
          <s v="23.Oca"/>
          <s v="24.Oca"/>
          <s v="25.Oca"/>
          <s v="26.Oca"/>
          <s v="27.Oca"/>
          <s v="28.Oca"/>
          <s v="29.Oca"/>
          <s v="30.Oca"/>
          <s v="31.Oca"/>
          <s v="1.Şub"/>
          <s v="2.Şub"/>
          <s v="3.Şub"/>
          <s v="4.Şub"/>
          <s v="5.Şub"/>
          <s v="6.Şub"/>
          <s v="7.Şub"/>
          <s v="8.Şub"/>
          <s v="9.Şub"/>
          <s v="10.Şub"/>
          <s v="11.Şub"/>
          <s v="12.Şub"/>
          <s v="13.Şub"/>
          <s v="14.Şub"/>
          <s v="15.Şub"/>
          <s v="16.Şub"/>
          <s v="17.Şub"/>
          <s v="18.Şub"/>
          <s v="19.Şub"/>
          <s v="20.Şub"/>
          <s v="21.Şub"/>
          <s v="22.Şub"/>
          <s v="23.Şub"/>
          <s v="24.Şub"/>
          <s v="25.Şub"/>
          <s v="26.Şub"/>
          <s v="27.Şub"/>
          <s v="28.Şub"/>
          <s v="29.Şub"/>
          <s v="1.Mar"/>
          <s v="2.Mar"/>
          <s v="3.Mar"/>
          <s v="4.Mar"/>
          <s v="5.Mar"/>
          <s v="6.Mar"/>
          <s v="7.Mar"/>
          <s v="8.Mar"/>
          <s v="9.Mar"/>
          <s v="10.Mar"/>
          <s v="11.Mar"/>
          <s v="12.Mar"/>
          <s v="13.Mar"/>
          <s v="14.Mar"/>
          <s v="15.Mar"/>
          <s v="16.Mar"/>
          <s v="17.Mar"/>
          <s v="18.Mar"/>
          <s v="19.Mar"/>
          <s v="20.Mar"/>
          <s v="21.Mar"/>
          <s v="22.Mar"/>
          <s v="23.Mar"/>
          <s v="24.Mar"/>
          <s v="25.Mar"/>
          <s v="26.Mar"/>
          <s v="27.Mar"/>
          <s v="28.Mar"/>
          <s v="29.Mar"/>
          <s v="30.Mar"/>
          <s v="31.Mar"/>
          <s v="1.Nis"/>
          <s v="2.Nis"/>
          <s v="3.Nis"/>
          <s v="4.Nis"/>
          <s v="5.Nis"/>
          <s v="6.Nis"/>
          <s v="7.Nis"/>
          <s v="8.Nis"/>
          <s v="9.Nis"/>
          <s v="10.Nis"/>
          <s v="11.Nis"/>
          <s v="12.Nis"/>
          <s v="13.Nis"/>
          <s v="14.Nis"/>
          <s v="15.Nis"/>
          <s v="16.Nis"/>
          <s v="17.Nis"/>
          <s v="18.Nis"/>
          <s v="19.Nis"/>
          <s v="20.Nis"/>
          <s v="21.Nis"/>
          <s v="22.Nis"/>
          <s v="23.Nis"/>
          <s v="24.Nis"/>
          <s v="25.Nis"/>
          <s v="26.Nis"/>
          <s v="27.Nis"/>
          <s v="28.Nis"/>
          <s v="29.Nis"/>
          <s v="30.Nis"/>
          <s v="1.May"/>
          <s v="2.May"/>
          <s v="3.May"/>
          <s v="4.May"/>
          <s v="5.May"/>
          <s v="6.May"/>
          <s v="7.May"/>
          <s v="8.May"/>
          <s v="9.May"/>
          <s v="10.May"/>
          <s v="11.May"/>
          <s v="12.May"/>
          <s v="13.May"/>
          <s v="14.May"/>
          <s v="15.May"/>
          <s v="16.May"/>
          <s v="17.May"/>
          <s v="18.May"/>
          <s v="19.May"/>
          <s v="20.May"/>
          <s v="21.May"/>
          <s v="22.May"/>
          <s v="23.May"/>
          <s v="24.May"/>
          <s v="25.May"/>
          <s v="26.May"/>
          <s v="27.May"/>
          <s v="28.May"/>
          <s v="29.May"/>
          <s v="30.May"/>
          <s v="31.May"/>
          <s v="1.Haz"/>
          <s v="2.Haz"/>
          <s v="3.Haz"/>
          <s v="4.Haz"/>
          <s v="5.Haz"/>
          <s v="6.Haz"/>
          <s v="7.Haz"/>
          <s v="8.Haz"/>
          <s v="9.Haz"/>
          <s v="10.Haz"/>
          <s v="11.Haz"/>
          <s v="12.Haz"/>
          <s v="13.Haz"/>
          <s v="14.Haz"/>
          <s v="15.Haz"/>
          <s v="16.Haz"/>
          <s v="17.Haz"/>
          <s v="18.Haz"/>
          <s v="19.Haz"/>
          <s v="20.Haz"/>
          <s v="21.Haz"/>
          <s v="22.Haz"/>
          <s v="23.Haz"/>
          <s v="24.Haz"/>
          <s v="25.Haz"/>
          <s v="26.Haz"/>
          <s v="27.Haz"/>
          <s v="28.Haz"/>
          <s v="29.Haz"/>
          <s v="30.Haz"/>
          <s v="1.Tem"/>
          <s v="2.Tem"/>
          <s v="3.Tem"/>
          <s v="4.Tem"/>
          <s v="5.Tem"/>
          <s v="6.Tem"/>
          <s v="7.Tem"/>
          <s v="8.Tem"/>
          <s v="9.Tem"/>
          <s v="10.Tem"/>
          <s v="11.Tem"/>
          <s v="12.Tem"/>
          <s v="13.Tem"/>
          <s v="14.Tem"/>
          <s v="15.Tem"/>
          <s v="16.Tem"/>
          <s v="17.Tem"/>
          <s v="18.Tem"/>
          <s v="19.Tem"/>
          <s v="20.Tem"/>
          <s v="21.Tem"/>
          <s v="22.Tem"/>
          <s v="23.Tem"/>
          <s v="24.Tem"/>
          <s v="25.Tem"/>
          <s v="26.Tem"/>
          <s v="27.Tem"/>
          <s v="28.Tem"/>
          <s v="29.Tem"/>
          <s v="30.Tem"/>
          <s v="31.Tem"/>
          <s v="1.Ağu"/>
          <s v="2.Ağu"/>
          <s v="3.Ağu"/>
          <s v="4.Ağu"/>
          <s v="5.Ağu"/>
          <s v="6.Ağu"/>
          <s v="7.Ağu"/>
          <s v="8.Ağu"/>
          <s v="9.Ağu"/>
          <s v="10.Ağu"/>
          <s v="11.Ağu"/>
          <s v="12.Ağu"/>
          <s v="13.Ağu"/>
          <s v="14.Ağu"/>
          <s v="15.Ağu"/>
          <s v="16.Ağu"/>
          <s v="17.Ağu"/>
          <s v="18.Ağu"/>
          <s v="19.Ağu"/>
          <s v="20.Ağu"/>
          <s v="21.Ağu"/>
          <s v="22.Ağu"/>
          <s v="23.Ağu"/>
          <s v="24.Ağu"/>
          <s v="25.Ağu"/>
          <s v="26.Ağu"/>
          <s v="27.Ağu"/>
          <s v="28.Ağu"/>
          <s v="29.Ağu"/>
          <s v="30.Ağu"/>
          <s v="31.Ağu"/>
          <s v="1.Eyl"/>
          <s v="2.Eyl"/>
          <s v="3.Eyl"/>
          <s v="4.Eyl"/>
          <s v="5.Eyl"/>
          <s v="6.Eyl"/>
          <s v="7.Eyl"/>
          <s v="8.Eyl"/>
          <s v="9.Eyl"/>
          <s v="10.Eyl"/>
          <s v="11.Eyl"/>
          <s v="12.Eyl"/>
          <s v="13.Eyl"/>
          <s v="14.Eyl"/>
          <s v="15.Eyl"/>
          <s v="16.Eyl"/>
          <s v="17.Eyl"/>
          <s v="18.Eyl"/>
          <s v="19.Eyl"/>
          <s v="20.Eyl"/>
          <s v="21.Eyl"/>
          <s v="22.Eyl"/>
          <s v="23.Eyl"/>
          <s v="24.Eyl"/>
          <s v="25.Eyl"/>
          <s v="26.Eyl"/>
          <s v="27.Eyl"/>
          <s v="28.Eyl"/>
          <s v="29.Eyl"/>
          <s v="30.Eyl"/>
          <s v="1.Eki"/>
          <s v="2.Eki"/>
          <s v="3.Eki"/>
          <s v="4.Eki"/>
          <s v="5.Eki"/>
          <s v="6.Eki"/>
          <s v="7.Eki"/>
          <s v="8.Eki"/>
          <s v="9.Eki"/>
          <s v="10.Eki"/>
          <s v="11.Eki"/>
          <s v="12.Eki"/>
          <s v="13.Eki"/>
          <s v="14.Eki"/>
          <s v="15.Eki"/>
          <s v="16.Eki"/>
          <s v="17.Eki"/>
          <s v="18.Eki"/>
          <s v="19.Eki"/>
          <s v="20.Eki"/>
          <s v="21.Eki"/>
          <s v="22.Eki"/>
          <s v="23.Eki"/>
          <s v="24.Eki"/>
          <s v="25.Eki"/>
          <s v="26.Eki"/>
          <s v="27.Eki"/>
          <s v="28.Eki"/>
          <s v="29.Eki"/>
          <s v="30.Eki"/>
          <s v="31.Eki"/>
          <s v="1.Kas"/>
          <s v="2.Kas"/>
          <s v="3.Kas"/>
          <s v="4.Kas"/>
          <s v="5.Kas"/>
          <s v="6.Kas"/>
          <s v="7.Kas"/>
          <s v="8.Kas"/>
          <s v="9.Kas"/>
          <s v="10.Kas"/>
          <s v="11.Kas"/>
          <s v="12.Kas"/>
          <s v="13.Kas"/>
          <s v="14.Kas"/>
          <s v="15.Kas"/>
          <s v="16.Kas"/>
          <s v="17.Kas"/>
          <s v="18.Kas"/>
          <s v="19.Kas"/>
          <s v="20.Kas"/>
          <s v="21.Kas"/>
          <s v="22.Kas"/>
          <s v="23.Kas"/>
          <s v="24.Kas"/>
          <s v="25.Kas"/>
          <s v="26.Kas"/>
          <s v="27.Kas"/>
          <s v="28.Kas"/>
          <s v="29.Kas"/>
          <s v="30.Kas"/>
          <s v="1.Ara"/>
          <s v="2.Ara"/>
          <s v="3.Ara"/>
          <s v="4.Ara"/>
          <s v="5.Ara"/>
          <s v="6.Ara"/>
          <s v="7.Ara"/>
          <s v="8.Ara"/>
          <s v="9.Ara"/>
          <s v="10.Ara"/>
          <s v="11.Ara"/>
          <s v="12.Ara"/>
          <s v="13.Ara"/>
          <s v="14.Ara"/>
          <s v="15.Ara"/>
          <s v="16.Ara"/>
          <s v="17.Ara"/>
          <s v="18.Ara"/>
          <s v="19.Ara"/>
          <s v="20.Ara"/>
          <s v="21.Ara"/>
          <s v="22.Ara"/>
          <s v="23.Ara"/>
          <s v="24.Ara"/>
          <s v="25.Ara"/>
          <s v="26.Ara"/>
          <s v="27.Ara"/>
          <s v="28.Ara"/>
          <s v="29.Ara"/>
          <s v="30.Ara"/>
          <s v="31.Ara"/>
          <s v="&gt;27.12.2020"/>
        </groupItems>
      </fieldGroup>
    </cacheField>
    <cacheField name="İşlem Kodu" numFmtId="0">
      <sharedItems count="913">
        <s v="SE-001"/>
        <s v="SE-002"/>
        <s v="TA-003"/>
        <s v="HA-004"/>
        <s v="ŞA-005"/>
        <s v="ŞE-006"/>
        <s v="ME-007"/>
        <s v="MU-009"/>
        <s v="SE-0010"/>
        <s v="ZE-0011"/>
        <s v="MÜ-0012"/>
        <s v="SÜ-0013"/>
        <s v="ZE-0014"/>
        <s v="GÜ-0016"/>
        <s v="RE-0017"/>
        <s v="ÇE-0018"/>
        <s v="GÜ-0019"/>
        <s v="SE-0020"/>
        <s v="NE-0021"/>
        <s v="İL-0022"/>
        <s v="ZA-0023"/>
        <s v="RE-0024"/>
        <s v="MÜ-0026"/>
        <s v="BU-0027"/>
        <s v="EM-0028"/>
        <s v="Bİ-0029"/>
        <s v="UM-0030"/>
        <s v="BA-0031"/>
        <s v="SA-0032"/>
        <s v="ÜL-0034"/>
        <s v="EM-0035"/>
        <s v="YA-0036"/>
        <s v="CE-0037"/>
        <s v="SE-0038"/>
        <s v="ME-0039"/>
        <s v="TU-0040"/>
        <s v="CE-0041"/>
        <s v="GÖ-0042"/>
        <s v="ER-0043"/>
        <s v="TÜ-0044"/>
        <s v="VE-0045"/>
        <s v="YU-0046"/>
        <s v="SO-0048"/>
        <s v="GÜ-0049"/>
        <s v="SE-0050"/>
        <s v="TA-0051"/>
        <s v="RA-0052"/>
        <s v="FA-0053"/>
        <s v="EM-0054"/>
        <s v="MU-0055"/>
        <s v="TU-0056"/>
        <s v="Nİ-0058"/>
        <s v="MÜ-0059"/>
        <s v="KU-0060"/>
        <s v="TU-0062"/>
        <s v="EM-0063"/>
        <s v="AY-0064"/>
        <s v="Dİ-0065"/>
        <s v="ER-0066"/>
        <s v="ME-0068"/>
        <s v="HA-0069"/>
        <s v="BU-0070"/>
        <s v="MU-0071"/>
        <s v="Sİ-0072"/>
        <s v="Fİ-0073"/>
        <s v="Fİ-0075"/>
        <s v="MU-0076"/>
        <s v="HA-0077"/>
        <s v="EV-0078"/>
        <s v="GÜ-0080"/>
        <s v="ZA-0081"/>
        <s v="GÜ-0082"/>
        <s v="RU-0083"/>
        <s v="IŞ-0084"/>
        <s v="SO-0085"/>
        <s v="ME-0086"/>
        <s v="HA-0088"/>
        <s v="HA-0089"/>
        <s v="İZ-0090"/>
        <s v="HA-0091"/>
        <s v="SE-0092"/>
        <s v="TU-0093"/>
        <s v="ÖZ-0094"/>
        <s v="NU-0095"/>
        <s v="YA-0096"/>
        <s v="GÖ-0097"/>
        <s v="ER-0098"/>
        <s v="TU-0099"/>
        <s v="MU-00100"/>
        <s v="Nİ-00102"/>
        <s v="FA-00103"/>
        <s v="IŞ-00104"/>
        <s v="ZA-00105"/>
        <s v="BU-00106"/>
        <s v="ZE-00107"/>
        <s v="İK-00108"/>
        <s v="RE-00109"/>
        <s v="SA-00111"/>
        <s v="EB-00112"/>
        <s v="SE-00113"/>
        <s v="FE-00114"/>
        <s v="PI-00115"/>
        <s v="Bİ-00117"/>
        <s v="AY-00118"/>
        <s v="BU-00119"/>
        <s v="Nİ-00120"/>
        <s v="Nİ-00122"/>
        <s v="YA-00123"/>
        <s v="AB-00124"/>
        <s v="AY-00125"/>
        <s v="LE-00126"/>
        <s v="SE-00127"/>
        <s v="Dİ-00129"/>
        <s v="EM-00130"/>
        <s v="ME-00131"/>
        <s v="HA-00132"/>
        <s v="ME-00133"/>
        <s v="BU-00134"/>
        <s v="ER-00135"/>
        <s v="İL-00137"/>
        <s v="TO-00138"/>
        <s v="AS-00139"/>
        <s v="ES-00140"/>
        <s v="ZE-00141"/>
        <s v="EN-00142"/>
        <s v="OK-00143"/>
        <s v="YA-00144"/>
        <s v="KA-00145"/>
        <s v="NU-00146"/>
        <s v="GA-00147"/>
        <s v="SE-00148"/>
        <s v="SE-00149"/>
        <s v="AD-00150"/>
        <s v="CE-00151"/>
        <s v="MU-00152"/>
        <s v="ÖV-00153"/>
        <s v="SE-00154"/>
        <s v="BE-00155"/>
        <s v="MU-00156"/>
        <s v="Dİ-00157"/>
        <s v="ÖZ-00158"/>
        <s v="ER-00159"/>
        <s v="AL-00160"/>
        <s v="OS-00161"/>
        <s v="MU-00162"/>
        <s v="MA-00163"/>
        <s v="HA-00164"/>
        <s v="GÜ-00165"/>
        <s v="MU-00166"/>
        <s v="ES-00167"/>
        <s v="PI-00168"/>
        <s v="ŞA-00169"/>
        <s v="HÜ-00170"/>
        <s v="ÖM-00171"/>
        <s v="EV-00172"/>
        <s v="KÜ-00173"/>
        <s v="GÜ-00174"/>
        <s v="SE-00175"/>
        <s v="SE-00176"/>
        <s v="SE-00177"/>
        <s v="MA-00178"/>
        <s v="AY-00179"/>
        <s v="Mİ-00180"/>
        <s v="CE-00181"/>
        <s v="Sİ-00182"/>
        <s v="ER-00183"/>
        <s v="ÖZ-00184"/>
        <s v="VE-00185"/>
        <s v="KE-00186"/>
        <s v="Nİ-00187"/>
        <s v="ÖZ-00188"/>
        <s v="HA-00189"/>
        <s v="ER-00190"/>
        <s v="AY-00191"/>
        <s v="HA-00192"/>
        <s v="GÜ-00193"/>
        <s v="TU-00194"/>
        <s v="MU-00195"/>
        <s v="ME-00196"/>
        <s v="İB-00197"/>
        <s v="MA-00198"/>
        <s v="UM-00199"/>
        <s v="GÖ-00200"/>
        <s v="FA-00201"/>
        <s v="NE-00202"/>
        <s v="MU-00203"/>
        <s v="ÖZ-00204"/>
        <s v="ON-00205"/>
        <s v="Mİ-00206"/>
        <s v="MU-00207"/>
        <s v="İB-00208"/>
        <s v="Bİ-00209"/>
        <s v="DE-00210"/>
        <s v="TU-00211"/>
        <s v="HA-00212"/>
        <s v="ES-00213"/>
        <s v="JA-00214"/>
        <s v="İK-00215"/>
        <s v="EL-00216"/>
        <s v="HA-00217"/>
        <s v="Bİ-00218"/>
        <s v="TE-00219"/>
        <s v="SE-00220"/>
        <s v="FA-00221"/>
        <s v="PI-00222"/>
        <s v="ME-00223"/>
        <s v="HA-00224"/>
        <s v="NU-00225"/>
        <s v="MU-00226"/>
        <s v="EL-00227"/>
        <s v="AY-00228"/>
        <s v="EM-00229"/>
        <s v="MA-00230"/>
        <s v="MÜ-00231"/>
        <s v="FE-00232"/>
        <s v="İH-00233"/>
        <s v="NE-00234"/>
        <s v="LA-00235"/>
        <s v="AY-00236"/>
        <s v="ÖM-00237"/>
        <s v="SE-00238"/>
        <s v="AR-00239"/>
        <s v="EM-00240"/>
        <s v="Bİ-00241"/>
        <s v="ME-00242"/>
        <s v="EM-00243"/>
        <s v="ZE-00244"/>
        <s v="AH-00245"/>
        <s v="BE-00246"/>
        <s v="EL-00247"/>
        <s v="EM-00248"/>
        <s v="Şİ-00249"/>
        <s v="MÜ-00250"/>
        <s v="HA-00251"/>
        <s v="AD-00252"/>
        <s v="SO-00253"/>
        <s v="ER-00254"/>
        <s v="MA-00255"/>
        <s v="EN-00256"/>
        <s v="MA-00257"/>
        <s v="DE-00258"/>
        <s v="BE-00259"/>
        <s v="BE-00260"/>
        <s v="BU-00261"/>
        <s v="NE-00262"/>
        <s v="PI-00263"/>
        <s v="RA-00264"/>
        <s v="TU-00265"/>
        <s v="Nİ-00266"/>
        <s v="AY-00267"/>
        <s v="MU-00268"/>
        <s v="ER-00269"/>
        <s v="VO-00270"/>
        <s v="EM-00271"/>
        <s v="DE-00272"/>
        <s v="MU-00273"/>
        <s v="SÜ-00274"/>
        <s v="DE-00275"/>
        <s v="UL-00276"/>
        <s v="GÜ-00277"/>
        <s v="İB-00278"/>
        <s v="İS-00279"/>
        <s v="DE-00280"/>
        <s v="MA-00281"/>
        <s v="TU-00282"/>
        <s v="MÜ-00283"/>
        <s v="FA-00284"/>
        <s v="ME-00285"/>
        <s v="AY-00286"/>
        <s v="ÜN-00287"/>
        <s v="SE-00288"/>
        <s v="FU-00289"/>
        <s v="MÜ-00290"/>
        <s v="ME-00291"/>
        <s v="Cİ-00292"/>
        <s v="EM-00293"/>
        <s v="BE-00294"/>
        <s v="İL-00295"/>
        <s v="ER-00296"/>
        <s v="NE-00297"/>
        <s v="AY-00298"/>
        <s v="MU-00299"/>
        <s v="FU-00300"/>
        <s v="ÜM-00301"/>
        <s v="Nİ-00302"/>
        <s v="İB-00303"/>
        <s v="Bİ-00304"/>
        <s v="FU-00305"/>
        <s v="ME-00306"/>
        <s v="BU-00307"/>
        <s v="KE-00308"/>
        <s v="GÜ-00309"/>
        <s v="Sİ-00310"/>
        <s v="SE-00311"/>
        <s v="GÜ-00312"/>
        <s v="AH-00313"/>
        <s v="HA-00314"/>
        <s v="JA-00315"/>
        <s v="SE-00316"/>
        <s v="MU-00317"/>
        <s v="ÇE-00318"/>
        <s v="Fİ-00319"/>
        <s v="BE-00320"/>
        <s v="GÖ-00321"/>
        <s v="EM-00322"/>
        <s v="İB-00323"/>
        <s v="MU-00324"/>
        <s v="FE-00325"/>
        <s v="FA-00326"/>
        <s v="HA-00327"/>
        <s v="IR-00328"/>
        <s v="ME-00329"/>
        <s v="OS-00330"/>
        <s v="SE-00331"/>
        <s v="ME-00332"/>
        <s v="İS-00333"/>
        <s v="ON-00334"/>
        <s v="AD-00335"/>
        <s v="ZE-00336"/>
        <s v="GO-00337"/>
        <s v="ÖZ-00338"/>
        <s v="AH-00339"/>
        <s v="HÜ-00340"/>
        <s v="BE-00341"/>
        <s v="SE-00342"/>
        <s v="EM-00343"/>
        <s v="MU-00344"/>
        <s v="MU-00345"/>
        <s v="MU-00346"/>
        <s v="AR-00347"/>
        <s v="GÜ-00348"/>
        <s v="MÜ-00349"/>
        <s v="RE-00350"/>
        <s v="SA-00351"/>
        <s v="MÜ-00352"/>
        <s v="KA-00353"/>
        <s v="UT-00354"/>
        <s v="SE-00355"/>
        <s v="Bİ-00356"/>
        <s v="TU-00357"/>
        <s v="ER-00358"/>
        <s v="AL-00359"/>
        <s v="AY-00360"/>
        <s v="KÜ-00361"/>
        <s v="MÜ-00362"/>
        <s v="ME-00363"/>
        <s v="GÖ-00364"/>
        <s v="ZE-00365"/>
        <s v="TU-00366"/>
        <s v="İL-00367"/>
        <s v="EV-00368"/>
        <s v="FA-00369"/>
        <s v="TÜ-00370"/>
        <s v="ES-00371"/>
        <s v="SI-00372"/>
        <s v="ME-00373"/>
        <s v="TA-00374"/>
        <s v="NU-00375"/>
        <s v="HA-00376"/>
        <s v="KE-00377"/>
        <s v="GÖ-00378"/>
        <s v="SE-00379"/>
        <s v="Dİ-00380"/>
        <s v="Fİ-00381"/>
        <s v="YÜ-00382"/>
        <s v="EV-00383"/>
        <s v="AL-00384"/>
        <s v="FA-00385"/>
        <s v="ER-00386"/>
        <s v="ÖM-00387"/>
        <s v="ÖZ-00388"/>
        <s v="AH-00389"/>
        <s v="SE-00390"/>
        <s v="İB-00391"/>
        <s v="GÜ-00392"/>
        <s v="İL-00393"/>
        <s v="RE-00394"/>
        <s v="CE-00395"/>
        <s v="MU-00396"/>
        <s v="AH-00397"/>
        <s v="YA-00398"/>
        <s v="ER-00399"/>
        <s v="FA-00400"/>
        <s v="AT-00401"/>
        <s v="ME-00402"/>
        <s v="SE-00403"/>
        <s v="SE-00404"/>
        <s v="SE-00405"/>
        <s v="ME-00406"/>
        <s v="SE-00407"/>
        <s v="ZA-00408"/>
        <s v="MU-00409"/>
        <s v="ME-00410"/>
        <s v="MU-00411"/>
        <s v="ME-00412"/>
        <s v="FA-00413"/>
        <s v="ÇE-00414"/>
        <s v="AY-00415"/>
        <s v="NE-00416"/>
        <s v="CA-00417"/>
        <s v="DU-00418"/>
        <s v="YE-00419"/>
        <s v="HA-00420"/>
        <s v="ES-00421"/>
        <s v="NU-00422"/>
        <s v="PI-00423"/>
        <s v="GA-00424"/>
        <s v="MU-00425"/>
        <s v="AD-00426"/>
        <s v="ES-00427"/>
        <s v="ÖZ-00428"/>
        <s v="Nİ-00429"/>
        <s v="ER-00430"/>
        <s v="MU-00431"/>
        <s v="GÜ-00432"/>
        <s v="RA-00433"/>
        <s v="CE-00434"/>
        <s v="ME-00435"/>
        <s v="AZ-00436"/>
        <s v="Dİ-00437"/>
        <s v="EB-00438"/>
        <s v="ER-00439"/>
        <s v="Sİ-00440"/>
        <s v="HÜ-00441"/>
        <s v="MA-00442"/>
        <s v="AT-00443"/>
        <s v="BE-00444"/>
        <s v="ÖZ-00445"/>
        <s v="AR-00446"/>
        <s v="CE-00447"/>
        <s v="ME-00448"/>
        <s v="MA-00449"/>
        <s v="GÜ-00450"/>
        <s v="AH-00451"/>
        <s v="MÜ-00452"/>
        <s v="AR-00453"/>
        <s v="UL-00454"/>
        <s v="HA-00455"/>
        <s v="BU-00456"/>
        <s v="GÜ-00457"/>
        <s v="NA-00458"/>
        <s v="AH-00459"/>
        <s v="DO-00460"/>
        <s v="Zİ-00461"/>
        <s v="HA-00462"/>
        <s v="MU-00463"/>
        <s v="UF-00464"/>
        <s v="AY-00465"/>
        <s v="AY-00466"/>
        <s v="HA-00467"/>
        <s v="Rİ-00468"/>
        <s v="TÜ-00469"/>
        <s v="FE-00470"/>
        <s v="ÖZ-00471"/>
        <s v="SE-00472"/>
        <s v="FE-00473"/>
        <s v="MU-00474"/>
        <s v="TA-00475"/>
        <s v="BE-00476"/>
        <s v="ME-00477"/>
        <s v="MA-00478"/>
        <s v="ÜM-00479"/>
        <s v="ME-00480"/>
        <s v="OS-00481"/>
        <s v="CU-00482"/>
        <s v="SÜ-00483"/>
        <s v="Nİ-00484"/>
        <s v="EM-00485"/>
        <s v="EL-00486"/>
        <s v="SE-00487"/>
        <s v="NE-00488"/>
        <s v="EN-00489"/>
        <s v="SA-00490"/>
        <s v="SE-00491"/>
        <s v="ME-00492"/>
        <s v="SE-00493"/>
        <s v="LE-00494"/>
        <s v="SA-00495"/>
        <s v="ME-00496"/>
        <s v="Şİ-00497"/>
        <s v="AS-00498"/>
        <s v="YU-00499"/>
        <s v="Nİ-00500"/>
        <s v="SA-00501"/>
        <s v="SÜ-00502"/>
        <s v="GÜ-00503"/>
        <s v="SE-00504"/>
        <s v="ÖZ-00505"/>
        <s v="AL-00506"/>
        <s v="SE-00507"/>
        <s v="Dİ-00508"/>
        <s v="SA-00509"/>
        <s v="ÇE-00510"/>
        <s v="BA-00511"/>
        <s v="ÖZ-00512"/>
        <s v="AY-00513"/>
        <s v="AD-00514"/>
        <s v="YE-00515"/>
        <s v="PA-00516"/>
        <s v="ME-00517"/>
        <s v="BU-00518"/>
        <s v="AH-00519"/>
        <s v="AZ-00520"/>
        <s v="NU-00521"/>
        <s v="DE-00522"/>
        <s v="BA-00523"/>
        <s v="BA-00524"/>
        <s v="YU-00525"/>
        <s v="BA-00526"/>
        <s v="EM-00527"/>
        <s v="TA-00528"/>
        <s v="HA-00529"/>
        <s v="Bİ-00530"/>
        <s v="SE-00531"/>
        <s v="SE-00532"/>
        <s v="HA-00533"/>
        <s v="Fİ-00534"/>
        <s v="İL-00535"/>
        <s v="HA-00536"/>
        <s v="SE-00537"/>
        <s v="NU-00538"/>
        <s v="NU-00539"/>
        <s v="SE-00540"/>
        <s v="RA-00541"/>
        <s v="ON-00542"/>
        <s v="MU-00543"/>
        <s v="OS-00544"/>
        <s v="İS-00545"/>
        <s v="DU-00546"/>
        <s v="FU-00547"/>
        <s v="AY-00548"/>
        <s v="HA-00549"/>
        <s v="MU-00550"/>
        <s v="MU-00551"/>
        <s v="İL-00552"/>
        <s v="AL-00553"/>
        <s v="BE-00554"/>
        <s v="HA-00555"/>
        <s v="NU-00556"/>
        <s v="TU-00557"/>
        <s v="ME-00558"/>
        <s v="DE-00559"/>
        <s v="AY-00560"/>
        <s v="HA-00561"/>
        <s v="Fİ-00562"/>
        <s v="EN-00563"/>
        <s v="HA-00564"/>
        <s v="MA-00565"/>
        <s v="HA-00566"/>
        <s v="BA-00567"/>
        <s v="SE-00568"/>
        <s v="FE-00569"/>
        <s v="SE-00570"/>
        <s v="İS-00571"/>
        <s v="AB-00572"/>
        <s v="NU-00573"/>
        <s v="SE-00574"/>
        <s v="TÜ-00575"/>
        <s v="MU-00576"/>
        <s v="PI-00577"/>
        <s v="DU-00578"/>
        <s v="ME-00579"/>
        <s v="ÖZ-00580"/>
        <s v="ZA-00581"/>
        <s v="Mİ-00582"/>
        <s v="ZÜ-00583"/>
        <s v="MU-00584"/>
        <s v="ER-00585"/>
        <s v="ME-00586"/>
        <s v="EM-00587"/>
        <s v="AY-00588"/>
        <s v="Nİ-00589"/>
        <s v="HÜ-00590"/>
        <s v="NU-00591"/>
        <s v="ZE-00592"/>
        <s v="Nİ-00593"/>
        <s v="ER-00594"/>
        <s v="Mİ-00595"/>
        <s v="SE-00596"/>
        <s v="CE-00597"/>
        <s v="EB-00598"/>
        <s v="MU-00599"/>
        <s v="SE-00600"/>
        <s v="FE-00601"/>
        <s v="ÖZ-00602"/>
        <s v="ER-00603"/>
        <s v="SE-00604"/>
        <s v="ÜN-00605"/>
        <s v="AY-00606"/>
        <s v="HA-00607"/>
        <s v="FU-00608"/>
        <s v="BU-00609"/>
        <s v="TA-00610"/>
        <s v="SU-00611"/>
        <s v="YA-00612"/>
        <s v="İL-00613"/>
        <s v="İK-00614"/>
        <s v="AY-00615"/>
        <s v="SE-00616"/>
        <s v="ME-00617"/>
        <s v="AH-00618"/>
        <s v="RE-00619"/>
        <s v="BE-00620"/>
        <s v="ÜL-00621"/>
        <s v="NU-00622"/>
        <s v="Nİ-00623"/>
        <s v="UF-00624"/>
        <s v="YA-00625"/>
        <s v="ŞÜ-00626"/>
        <s v="TU-00627"/>
        <s v="KÜ-00628"/>
        <s v="DE-00629"/>
        <s v="ŞE-00630"/>
        <s v="FA-00631"/>
        <s v="Hİ-00632"/>
        <s v="CA-00633"/>
        <s v="SU-00634"/>
        <s v="ES-00635"/>
        <s v="BE-00636"/>
        <s v="Dİ-00637"/>
        <s v="ŞA-00638"/>
        <s v="MU-00639"/>
        <s v="SE-00640"/>
        <s v="EM-00641"/>
        <s v="AL-00642"/>
        <s v="HA-00643"/>
        <s v="TU-00644"/>
        <s v="ZA-00645"/>
        <s v="FA-00646"/>
        <s v="AB-00647"/>
        <s v="FU-00648"/>
        <s v="BE-00649"/>
        <s v="GÖ-00650"/>
        <s v="SU-00651"/>
        <s v="MU-00652"/>
        <s v="BA-00653"/>
        <s v="ME-00654"/>
        <s v="AD-00655"/>
        <s v="MU-00656"/>
        <s v="İH-00657"/>
        <s v="ME-00658"/>
        <s v="NE-00659"/>
        <s v="MU-00660"/>
        <s v="DE-00661"/>
        <s v="AD-00662"/>
        <s v="EL-00663"/>
        <s v="AB-00664"/>
        <s v="NE-00665"/>
        <s v="BA-00666"/>
        <s v="ZE-00667"/>
        <s v="EB-00668"/>
        <s v="ER-00669"/>
        <s v="VE-00670"/>
        <s v="ZE-00671"/>
        <s v="MA-00672"/>
        <s v="MÜ-00673"/>
        <s v="KÜ-00674"/>
        <s v="EY-00675"/>
        <s v="SA-00676"/>
        <s v="EL-00677"/>
        <s v="SÜ-00678"/>
        <s v="İS-00679"/>
        <s v="TA-00680"/>
        <s v="EV-00681"/>
        <s v="AY-00682"/>
        <s v="ON-00683"/>
        <s v="YA-00684"/>
        <s v="SE-00685"/>
        <s v="ES-00686"/>
        <s v="ER-00687"/>
        <s v="AL-00688"/>
        <s v="CE-00689"/>
        <s v="EB-00690"/>
        <s v="TÜ-00691"/>
        <s v="BU-00692"/>
        <s v="SE-00693"/>
        <s v="BÜ-00694"/>
        <s v="SE-00695"/>
        <s v="Tİ-00696"/>
        <s v="AH-00697"/>
        <s v="ME-00698"/>
        <s v="ÖZ-00699"/>
        <s v="AL-00700"/>
        <s v="RE-00701"/>
        <s v="EL-00702"/>
        <s v="ER-00703"/>
        <s v="AS-00704"/>
        <s v="YA-00705"/>
        <s v="ES-00706"/>
        <s v="ER-00707"/>
        <s v="KÜ-00708"/>
        <s v="EF-00709"/>
        <s v="ME-00710"/>
        <s v="GO-00711"/>
        <s v="KE-00712"/>
        <s v="TU-00713"/>
        <s v="ER-00714"/>
        <s v="TÜ-00715"/>
        <s v="AY-00716"/>
        <s v="AH-00717"/>
        <s v="SE-00718"/>
        <s v="SE-00719"/>
        <s v="YA-00720"/>
        <s v="MU-00721"/>
        <s v="AD-00722"/>
        <s v="FA-00723"/>
        <s v="ŞE-00724"/>
        <s v="EN-00725"/>
        <s v="KE-00726"/>
        <s v="FA-00727"/>
        <s v="NU-00728"/>
        <s v="NU-00729"/>
        <s v="HA-00730"/>
        <s v="EL-00731"/>
        <s v="ÜM-00732"/>
        <s v="YE-00733"/>
        <s v="İL-00734"/>
        <s v="YÜ-00735"/>
        <s v="ER-00736"/>
        <s v="SE-00737"/>
        <s v="SE-00738"/>
        <s v="PI-00739"/>
        <s v="DE-00740"/>
        <s v="ED-00741"/>
        <s v="ÖM-00742"/>
        <s v="ÖZ-00743"/>
        <s v="YU-00744"/>
        <s v="BU-00745"/>
        <s v="ÖZ-00746"/>
        <s v="YU-00747"/>
        <s v="HÜ-00748"/>
        <s v="ŞA-00749"/>
        <s v="ES-00750"/>
        <s v="ME-00751"/>
        <s v="KI-00752"/>
        <s v="ÖZ-00753"/>
        <s v="UM-00754"/>
        <s v="SE-00755"/>
        <s v="SE-00756"/>
        <s v="BU-00757"/>
        <s v="ZE-00758"/>
        <s v="NA-00759"/>
        <s v="AY-00760"/>
        <s v="MU-00761"/>
        <s v="SU-00762"/>
        <s v="ME-00763"/>
        <s v="AH-00764"/>
        <s v="OR-00765"/>
        <s v="FA-00766"/>
        <s v="İP-00767"/>
        <s v="DE-00768"/>
        <s v="İR-00769"/>
        <s v="ME-00770"/>
        <s v="Fİ-00771"/>
        <s v="BE-00772"/>
        <s v="KE-00773"/>
        <s v="SU-00774"/>
        <s v="ME-00775"/>
        <s v="YA-00776"/>
        <s v="NE-00777"/>
        <s v="Nİ-00778"/>
        <s v="ŞE-00779"/>
        <s v="TA-00780"/>
        <s v="SE-00781"/>
        <s v="ME-00782"/>
        <s v="ŞA-00783"/>
        <s v="EM-00784"/>
        <s v="AR-00785"/>
        <s v="CE-00786"/>
        <s v="SA-00787"/>
        <s v="ÖZ-00788"/>
        <s v="ZÜ-00789"/>
        <s v="FA-00790"/>
        <s v="Bİ-00791"/>
        <s v="EM-00792"/>
        <s v="ZE-00793"/>
        <s v="MU-00794"/>
        <s v="BA-00795"/>
        <s v="Mİ-00796"/>
        <s v="AH-00797"/>
        <s v="SE-00798"/>
        <s v="SE-00799"/>
        <s v="ÇE-00800"/>
        <s v="MU-00801"/>
        <s v="MA-00802"/>
        <s v="HA-00803"/>
        <s v="SE-00804"/>
        <s v="HA-00805"/>
        <s v="AL-00806"/>
        <s v="JÜ-00807"/>
        <s v="GÖ-00808"/>
        <s v="MU-00809"/>
        <s v="AH-00810"/>
        <s v="ME-00811"/>
        <s v="BU-00812"/>
        <s v="FE-00813"/>
        <s v="MU-00814"/>
        <s v="EL-00815"/>
        <s v="HA-00816"/>
        <s v="NU-00817"/>
        <s v="MU-00818"/>
        <s v="İK-00819"/>
        <s v="ES-00820"/>
        <s v="MU-00821"/>
        <s v="AY-00822"/>
        <s v="AH-00823"/>
        <s v="SÜ-00824"/>
        <s v="NE-00825"/>
        <s v="ÖZ-00826"/>
        <s v="ME-00827"/>
        <s v="BU-00828"/>
        <s v="FE-00829"/>
        <s v="KE-00830"/>
        <s v="ÖZ-00831"/>
        <s v="ÖM-00832"/>
        <s v="Fİ-00833"/>
        <s v="SÜ-00834"/>
        <s v="ON-00835"/>
        <s v="JA-00836"/>
        <s v="MU-00837"/>
        <s v="BU-00838"/>
        <s v="SE-00839"/>
        <s v="FU-00840"/>
        <s v="ED-00841"/>
        <s v="MU-00842"/>
        <s v="DE-00843"/>
        <s v="YU-00844"/>
        <s v="ZE-00845"/>
        <s v="ME-00846"/>
        <s v="ÖM-00847"/>
        <s v="ÇA-00848"/>
        <s v="ÖZ-00849"/>
        <s v="İL-00850"/>
        <s v="LE-00851"/>
        <s v="SE-00852"/>
        <s v="MA-00853"/>
        <s v="KE-00854"/>
        <s v="NU-00855"/>
        <s v="BA-00856"/>
        <s v="RE-00857"/>
        <s v="CU-00858"/>
        <s v="Nİ-00859"/>
        <s v="FA-00860"/>
        <s v="ZE-00861"/>
        <s v="ER-00862"/>
        <s v="AY-00863"/>
        <s v="SE-00864"/>
        <s v="NE-00865"/>
        <s v="ÜL-00866"/>
        <s v="İS-00867"/>
        <s v="ZÜ-00868"/>
        <s v="EM-00869"/>
        <s v="Bİ-00870"/>
        <s v="EF-00871"/>
        <s v="ME-00872"/>
        <s v="MU-00873"/>
        <s v="CE-00874"/>
        <s v="AB-00875"/>
        <s v="İB-00876"/>
        <s v="ME-00877"/>
        <s v="ÖN-00878"/>
        <s v="LA-00879"/>
        <s v="YI-00880"/>
        <s v="NA-00881"/>
        <s v="MU-00882"/>
        <s v="ME-00883"/>
        <s v="ER-00884"/>
        <s v="ÖZ-00885"/>
        <s v="FU-00886"/>
        <s v="EY-00887"/>
        <s v="HA-00888"/>
        <s v="AH-00889"/>
        <s v="MÜ-00890"/>
        <s v="OL-00891"/>
        <s v="FU-00892"/>
        <s v="RÜ-00893"/>
        <s v="ER-00894"/>
        <s v="ME-00895"/>
        <s v="ER-00896"/>
        <s v="SE-00897"/>
        <s v="ME-00898"/>
        <s v="ER-00899"/>
        <s v="FA-00900"/>
        <s v="RE-00901"/>
        <s v="VO-00902"/>
        <s v="BE-00903"/>
        <s v="UM-00904"/>
        <s v="SE-00905"/>
        <s v="LA-00906"/>
        <s v="AH-00907"/>
        <s v="ÖZ-00908"/>
        <s v="UF-00909"/>
        <s v="FÜ-00910"/>
        <s v="KO-00911"/>
        <s v="MU-00912"/>
        <s v="ER-00913"/>
        <s v="BE-00914"/>
        <s v="AR-00915"/>
        <s v="AY-00916"/>
        <s v="İN-00917"/>
        <s v="NU-00918"/>
        <s v="Şİ-00919"/>
        <s v="TÜ-00920"/>
        <s v="AY-00921"/>
        <s v="Hİ-00922"/>
        <s v="PI-00923"/>
        <s v="ON-00924"/>
        <s v="OS-00925"/>
        <s v="SE-00926"/>
        <s v="ZE-00927"/>
        <s v="GÜ-00928"/>
        <s v="GÖ-00929"/>
        <s v="HA-00930"/>
      </sharedItems>
    </cacheField>
    <cacheField name="İsim" numFmtId="0">
      <sharedItems/>
    </cacheField>
    <cacheField name="Soyisim" numFmtId="0">
      <sharedItems/>
    </cacheField>
    <cacheField name="Şehir" numFmtId="0">
      <sharedItems count="9">
        <s v="Bursa"/>
        <s v="İzmir"/>
        <s v="Uşak"/>
        <s v="Trabzon"/>
        <s v="Konya"/>
        <s v="istnbl"/>
        <s v="Ankara"/>
        <s v="Antalya"/>
        <s v="Bolu"/>
      </sharedItems>
    </cacheField>
    <cacheField name="Ürün" numFmtId="0">
      <sharedItems count="14">
        <s v="Yazıcı"/>
        <s v="Drone"/>
        <s v="Kulaklık"/>
        <s v="Webcam"/>
        <s v="TV"/>
        <s v="Hard Disk"/>
        <s v="Oyun Konsolu"/>
        <s v="Klavye"/>
        <s v="Monitör"/>
        <s v="Mouse"/>
        <s v="Kamera"/>
        <s v="Laptop"/>
        <s v="Kartuş"/>
        <s v="Telefon"/>
      </sharedItems>
    </cacheField>
    <cacheField name="Adet" numFmtId="0">
      <sharedItems containsSemiMixedTypes="0" containsString="0" containsNumber="1" containsInteger="1" minValue="3" maxValue="10" count="8">
        <n v="8"/>
        <n v="5"/>
        <n v="3"/>
        <n v="7"/>
        <n v="10"/>
        <n v="6"/>
        <n v="9"/>
        <n v="4"/>
      </sharedItems>
    </cacheField>
    <cacheField name="Durum" numFmtId="0">
      <sharedItems count="5">
        <s v="Paketlemede"/>
        <s v="Tamamlandı"/>
        <s v="Tslm Edldi"/>
        <s v="Kargoda"/>
        <s v="Sipariş İptali"/>
      </sharedItems>
    </cacheField>
    <cacheField name="Ay" numFmtId="0" databaseField="0">
      <fieldGroup base="0">
        <rangePr groupBy="months" startDate="2020-01-01T08:43:00" endDate="2020-12-27T22:21:00"/>
        <groupItems count="14">
          <s v="&lt;1.01.2020"/>
          <s v="Oca"/>
          <s v="Şub"/>
          <s v="Mar"/>
          <s v="Nis"/>
          <s v="May"/>
          <s v="Haz"/>
          <s v="Tem"/>
          <s v="Ağu"/>
          <s v="Eyl"/>
          <s v="Eki"/>
          <s v="Kas"/>
          <s v="Ara"/>
          <s v="&gt;27.12.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3">
  <r>
    <d v="2020-05-08T22:06:00"/>
    <s v="SE-001"/>
    <s v="Serhat"/>
    <s v="Başkan Vuralkan"/>
    <x v="0"/>
    <s v="Yazıcı"/>
    <n v="8"/>
    <s v="Paketlemede"/>
  </r>
  <r>
    <d v="2020-05-27T20:09:00"/>
    <s v="SE-002"/>
    <s v="Serdar"/>
    <s v="Çelik"/>
    <x v="1"/>
    <s v="Drone"/>
    <n v="5"/>
    <s v="Tamamlandı"/>
  </r>
  <r>
    <d v="2020-10-02T22:01:00"/>
    <s v="TA-003"/>
    <s v="Tayyar"/>
    <s v="Alp Yenin"/>
    <x v="2"/>
    <s v="Kulaklık"/>
    <n v="3"/>
    <s v="Paketlemede"/>
  </r>
  <r>
    <d v="2020-10-03T10:28:00"/>
    <s v="HA-004"/>
    <s v="Hakan"/>
    <s v="Sulhan"/>
    <x v="1"/>
    <s v="Webcam"/>
    <n v="8"/>
    <s v="Paketlemede"/>
  </r>
  <r>
    <d v="2020-09-03T16:27:00"/>
    <s v="ŞA-005"/>
    <s v="Şafak"/>
    <s v="Balaban"/>
    <x v="3"/>
    <s v="TV"/>
    <n v="7"/>
    <s v="Paketlemede"/>
  </r>
  <r>
    <d v="2020-11-16T19:24:00"/>
    <s v="ŞE-006"/>
    <s v="Şenay"/>
    <s v="Yıldırım"/>
    <x v="2"/>
    <s v="Hard Disk"/>
    <n v="10"/>
    <s v="Tamamlandı"/>
  </r>
  <r>
    <d v="2020-12-11T22:07:00"/>
    <s v="ME-007"/>
    <s v="Melda"/>
    <s v="Ekici"/>
    <x v="1"/>
    <s v="Oyun Konsolu"/>
    <n v="6"/>
    <s v="Paketlemede"/>
  </r>
  <r>
    <d v="2020-12-02T22:55:00"/>
    <s v="MU-009"/>
    <s v="Muammer"/>
    <s v="Kalyoncu Uçar"/>
    <x v="2"/>
    <s v="TV"/>
    <n v="9"/>
    <s v="Tamamlandı"/>
  </r>
  <r>
    <d v="2020-09-12T17:41:00"/>
    <s v="SE-0010"/>
    <s v="Serdal"/>
    <s v="Akıncı"/>
    <x v="0"/>
    <s v="Webcam"/>
    <n v="6"/>
    <s v="Tslm Edldi"/>
  </r>
  <r>
    <d v="2020-10-10T11:20:00"/>
    <s v="ZE-0011"/>
    <s v="Zeliha"/>
    <s v="Kılıç"/>
    <x v="4"/>
    <s v="Oyun Konsolu"/>
    <n v="10"/>
    <s v="Paketlemede"/>
  </r>
  <r>
    <d v="2020-06-19T13:20:00"/>
    <s v="MÜ-0012"/>
    <s v="Münever"/>
    <s v="Sevinç"/>
    <x v="1"/>
    <s v="Hard Disk"/>
    <n v="8"/>
    <s v="Tslm Edldi"/>
  </r>
  <r>
    <d v="2020-09-26T13:01:00"/>
    <s v="SÜ-0013"/>
    <s v="Süleyman"/>
    <s v="Akşahin"/>
    <x v="1"/>
    <s v="Kulaklık"/>
    <n v="10"/>
    <s v="Tslm Edldi"/>
  </r>
  <r>
    <d v="2020-04-16T22:46:00"/>
    <s v="ZE-0014"/>
    <s v="Zeliha"/>
    <s v="Taş"/>
    <x v="3"/>
    <s v="Drone"/>
    <n v="9"/>
    <s v="Tslm Edldi"/>
  </r>
  <r>
    <d v="2020-02-23T12:58:00"/>
    <s v="GÜ-0016"/>
    <s v="Gülseren"/>
    <s v="Başyurt"/>
    <x v="5"/>
    <s v="Klavye"/>
    <n v="5"/>
    <s v="Tslm Edldi"/>
  </r>
  <r>
    <d v="2020-09-20T22:21:00"/>
    <s v="RE-0017"/>
    <s v="Refaettin"/>
    <s v="Sül"/>
    <x v="6"/>
    <s v="Monitör"/>
    <n v="3"/>
    <s v="Tslm Edldi"/>
  </r>
  <r>
    <d v="2020-06-03T14:48:00"/>
    <s v="ÇE-0018"/>
    <s v="Çetin"/>
    <s v="Cimbek"/>
    <x v="0"/>
    <s v="Drone"/>
    <n v="4"/>
    <s v="Tslm Edldi"/>
  </r>
  <r>
    <d v="2020-04-28T22:04:00"/>
    <s v="GÜ-0019"/>
    <s v="Gülname"/>
    <s v="Çelen"/>
    <x v="7"/>
    <s v="TV"/>
    <n v="10"/>
    <s v="Tslm Edldi"/>
  </r>
  <r>
    <d v="2020-10-15T15:22:00"/>
    <s v="SE-0020"/>
    <s v="Serdar"/>
    <s v="Karabağ"/>
    <x v="8"/>
    <s v="Mouse"/>
    <n v="4"/>
    <s v="Tslm Edldi"/>
  </r>
  <r>
    <d v="2020-03-02T22:26:00"/>
    <s v="NE-0021"/>
    <s v="Nejdet"/>
    <s v="Şen"/>
    <x v="7"/>
    <s v="Kamera"/>
    <n v="6"/>
    <s v="Paketlemede"/>
  </r>
  <r>
    <d v="2020-02-22T22:24:00"/>
    <s v="İL-0022"/>
    <s v="İlknur"/>
    <s v="Yüzbaşıoğlu"/>
    <x v="3"/>
    <s v="Monitör"/>
    <n v="7"/>
    <s v="Tslm Edldi"/>
  </r>
  <r>
    <d v="2020-11-06T19:56:00"/>
    <s v="ZA-0023"/>
    <s v="Zafer"/>
    <s v="Başaran"/>
    <x v="8"/>
    <s v="Laptop"/>
    <n v="9"/>
    <s v="Tslm Edldi"/>
  </r>
  <r>
    <d v="2020-09-28T13:52:00"/>
    <s v="RE-0024"/>
    <s v="Refaettin"/>
    <s v="Yılmaz"/>
    <x v="4"/>
    <s v="Drone"/>
    <n v="4"/>
    <s v="Tamamlandı"/>
  </r>
  <r>
    <d v="2020-02-20T18:34:00"/>
    <s v="MÜ-0026"/>
    <s v="Mübeccel"/>
    <s v="Öcal"/>
    <x v="4"/>
    <s v="TV"/>
    <n v="7"/>
    <s v="Tslm Edldi"/>
  </r>
  <r>
    <d v="2020-06-16T10:34:00"/>
    <s v="BU-0027"/>
    <s v="Burcu"/>
    <s v="Çelik"/>
    <x v="3"/>
    <s v="Monitör"/>
    <n v="5"/>
    <s v="Paketlemede"/>
  </r>
  <r>
    <d v="2020-01-22T18:45:00"/>
    <s v="EM-0028"/>
    <s v="Emel"/>
    <s v="Cennet Topaloğlu"/>
    <x v="2"/>
    <s v="Drone"/>
    <n v="6"/>
    <s v="Tslm Edldi"/>
  </r>
  <r>
    <d v="2020-11-12T14:27:00"/>
    <s v="Bİ-0029"/>
    <s v="Birsen"/>
    <s v="Özdemir"/>
    <x v="3"/>
    <s v="Kartuş"/>
    <n v="5"/>
    <s v="Tslm Edldi"/>
  </r>
  <r>
    <d v="2020-06-14T16:54:00"/>
    <s v="UM-0030"/>
    <s v="Umut"/>
    <s v="Sinan Danışoğlu"/>
    <x v="7"/>
    <s v="Monitör"/>
    <n v="6"/>
    <s v="Tslm Edldi"/>
  </r>
  <r>
    <d v="2020-06-19T22:22:00"/>
    <s v="BA-0031"/>
    <s v="Barış"/>
    <s v="Ertekin"/>
    <x v="1"/>
    <s v="Oyun Konsolu"/>
    <n v="4"/>
    <s v="Paketlemede"/>
  </r>
  <r>
    <d v="2020-01-08T16:22:00"/>
    <s v="SA-0032"/>
    <s v="Sami"/>
    <s v="Görkem"/>
    <x v="2"/>
    <s v="Kamera"/>
    <n v="6"/>
    <s v="Tslm Edldi"/>
  </r>
  <r>
    <d v="2020-09-05T17:46:00"/>
    <s v="ÜL-0034"/>
    <s v="Ülkühan"/>
    <s v="Özen"/>
    <x v="2"/>
    <s v="Kartuş"/>
    <n v="6"/>
    <s v="Tslm Edldi"/>
  </r>
  <r>
    <d v="2020-03-20T16:32:00"/>
    <s v="EM-0035"/>
    <s v="Emine"/>
    <s v="Eker"/>
    <x v="1"/>
    <s v="TV"/>
    <n v="5"/>
    <s v="Paketlemede"/>
  </r>
  <r>
    <d v="2020-12-21T14:55:00"/>
    <s v="YA-0036"/>
    <s v="Yasemin"/>
    <s v="Yaman"/>
    <x v="0"/>
    <s v="TV"/>
    <n v="8"/>
    <s v="Tamamlandı"/>
  </r>
  <r>
    <d v="2020-06-26T16:00:00"/>
    <s v="CE-0037"/>
    <s v="Cem"/>
    <s v="Murt"/>
    <x v="5"/>
    <s v="Klavye"/>
    <n v="6"/>
    <s v="Tamamlandı"/>
  </r>
  <r>
    <d v="2020-02-12T09:53:00"/>
    <s v="SE-0038"/>
    <s v="Serkan"/>
    <s v="Gündüz"/>
    <x v="5"/>
    <s v="Telefon"/>
    <n v="7"/>
    <s v="Paketlemede"/>
  </r>
  <r>
    <d v="2020-04-22T08:24:00"/>
    <s v="ME-0039"/>
    <s v="Meral"/>
    <s v="Sönmez"/>
    <x v="7"/>
    <s v="Kamera"/>
    <n v="9"/>
    <s v="Tslm Edldi"/>
  </r>
  <r>
    <d v="2020-04-14T15:49:00"/>
    <s v="TU-0040"/>
    <s v="Tuba"/>
    <s v="Yücetürk"/>
    <x v="6"/>
    <s v="Kamera"/>
    <n v="9"/>
    <s v="Paketlemede"/>
  </r>
  <r>
    <d v="2020-02-14T15:45:00"/>
    <s v="CE-0041"/>
    <s v="Cemile"/>
    <s v="Çiğdem Yüce"/>
    <x v="1"/>
    <s v="Kamera"/>
    <n v="8"/>
    <s v="Paketlemede"/>
  </r>
  <r>
    <d v="2020-02-22T18:43:00"/>
    <s v="GÖ-0042"/>
    <s v="Gökmen"/>
    <s v="Alpaslan Özer"/>
    <x v="4"/>
    <s v="Yazıcı"/>
    <n v="3"/>
    <s v="Tamamlandı"/>
  </r>
  <r>
    <d v="2020-05-07T09:40:00"/>
    <s v="ER-0043"/>
    <s v="Erhan"/>
    <s v="Evik"/>
    <x v="8"/>
    <s v="Kartuş"/>
    <n v="10"/>
    <s v="Tslm Edldi"/>
  </r>
  <r>
    <d v="2020-11-12T10:57:00"/>
    <s v="TÜ-0044"/>
    <s v="Tülay"/>
    <s v="Karamanlı"/>
    <x v="5"/>
    <s v="Klavye"/>
    <n v="4"/>
    <s v="Paketlemede"/>
  </r>
  <r>
    <d v="2020-06-18T15:43:00"/>
    <s v="VE-0045"/>
    <s v="Vedat"/>
    <s v="Onay"/>
    <x v="7"/>
    <s v="Kamera"/>
    <n v="6"/>
    <s v="Tslm Edldi"/>
  </r>
  <r>
    <d v="2020-08-23T12:06:00"/>
    <s v="YU-0046"/>
    <s v="Yusuf"/>
    <s v="Alper Albayrak"/>
    <x v="2"/>
    <s v="Drone"/>
    <n v="8"/>
    <s v="Tslm Edldi"/>
  </r>
  <r>
    <d v="2020-04-08T16:25:00"/>
    <s v="SO-0048"/>
    <s v="Sonay"/>
    <s v="Suluova"/>
    <x v="5"/>
    <s v="Mouse"/>
    <n v="10"/>
    <s v="Tslm Edldi"/>
  </r>
  <r>
    <d v="2020-01-12T13:13:00"/>
    <s v="GÜ-0049"/>
    <s v="Gülşah"/>
    <s v="Gümüş"/>
    <x v="8"/>
    <s v="Yazıcı"/>
    <n v="10"/>
    <s v="Paketlemede"/>
  </r>
  <r>
    <d v="2020-11-13T22:32:00"/>
    <s v="SE-0050"/>
    <s v="Sevgül"/>
    <s v="Onan"/>
    <x v="0"/>
    <s v="Drone"/>
    <n v="6"/>
    <s v="Tamamlandı"/>
  </r>
  <r>
    <d v="2020-01-13T15:43:00"/>
    <s v="TA-0051"/>
    <s v="Talha"/>
    <s v="Kabacaoğlu"/>
    <x v="0"/>
    <s v="Monitör"/>
    <n v="7"/>
    <s v="Tslm Edldi"/>
  </r>
  <r>
    <d v="2020-08-24T09:47:00"/>
    <s v="RA-0052"/>
    <s v="Ramazan"/>
    <s v="Kara"/>
    <x v="8"/>
    <s v="Kulaklık"/>
    <n v="6"/>
    <s v="Paketlemede"/>
  </r>
  <r>
    <d v="2020-08-09T13:58:00"/>
    <s v="FA-0053"/>
    <s v="Fatih"/>
    <s v="Akhun"/>
    <x v="1"/>
    <s v="Kulaklık"/>
    <n v="5"/>
    <s v="Tslm Edldi"/>
  </r>
  <r>
    <d v="2020-01-08T10:47:00"/>
    <s v="EM-0054"/>
    <s v="Emine"/>
    <s v="Erol"/>
    <x v="3"/>
    <s v="Monitör"/>
    <n v="4"/>
    <s v="Tslm Edldi"/>
  </r>
  <r>
    <d v="2020-08-27T21:07:00"/>
    <s v="MU-0055"/>
    <s v="Mustafa"/>
    <s v="Arif Orhon"/>
    <x v="3"/>
    <s v="Yazıcı"/>
    <n v="5"/>
    <s v="Paketlemede"/>
  </r>
  <r>
    <d v="2020-04-13T11:12:00"/>
    <s v="TU-0056"/>
    <s v="Tuba"/>
    <s v="Avcıoğlu"/>
    <x v="4"/>
    <s v="Laptop"/>
    <n v="8"/>
    <s v="Tslm Edldi"/>
  </r>
  <r>
    <d v="2020-05-22T17:39:00"/>
    <s v="Nİ-0058"/>
    <s v="Nihat"/>
    <s v="Uz"/>
    <x v="1"/>
    <s v="Klavye"/>
    <n v="4"/>
    <s v="Tslm Edldi"/>
  </r>
  <r>
    <d v="2020-10-24T20:00:00"/>
    <s v="MÜ-0059"/>
    <s v="Müslim"/>
    <s v="Bektaş"/>
    <x v="4"/>
    <s v="Kulaklık"/>
    <n v="5"/>
    <s v="Paketlemede"/>
  </r>
  <r>
    <d v="2020-11-14T16:17:00"/>
    <s v="KU-0060"/>
    <s v="Kubilay"/>
    <s v="Yıldız"/>
    <x v="1"/>
    <s v="Hard Disk"/>
    <n v="5"/>
    <s v="Kargoda"/>
  </r>
  <r>
    <d v="2020-10-06T19:08:00"/>
    <s v="TU-0062"/>
    <s v="Tuğra"/>
    <s v="Kaynak"/>
    <x v="7"/>
    <s v="Monitör"/>
    <n v="3"/>
    <s v="Paketlemede"/>
  </r>
  <r>
    <d v="2020-03-21T18:10:00"/>
    <s v="EM-0063"/>
    <s v="Emrah"/>
    <s v="Kılaç"/>
    <x v="8"/>
    <s v="Kulaklık"/>
    <n v="9"/>
    <s v="Tslm Edldi"/>
  </r>
  <r>
    <d v="2020-03-05T13:28:00"/>
    <s v="AY-0064"/>
    <s v="Aylia"/>
    <s v="Yüzbaşıoğlu"/>
    <x v="4"/>
    <s v="Laptop"/>
    <n v="8"/>
    <s v="Tamamlandı"/>
  </r>
  <r>
    <d v="2020-05-10T13:33:00"/>
    <s v="Dİ-0065"/>
    <s v="Dilek"/>
    <s v="Yarbil"/>
    <x v="2"/>
    <s v="Mouse"/>
    <n v="3"/>
    <s v="Tslm Edldi"/>
  </r>
  <r>
    <d v="2020-10-26T09:29:00"/>
    <s v="ER-0066"/>
    <s v="Erhan"/>
    <s v="Gürdal"/>
    <x v="0"/>
    <s v="Mouse"/>
    <n v="8"/>
    <s v="Paketlemede"/>
  </r>
  <r>
    <d v="2020-09-08T17:41:00"/>
    <s v="ME-0068"/>
    <s v="Mehtap"/>
    <s v="Acar"/>
    <x v="1"/>
    <s v="Yazıcı"/>
    <n v="7"/>
    <s v="Tamamlandı"/>
  </r>
  <r>
    <d v="2020-09-23T12:38:00"/>
    <s v="HA-0069"/>
    <s v="Hale"/>
    <s v="Akcan Atasoy"/>
    <x v="2"/>
    <s v="Hard Disk"/>
    <n v="4"/>
    <s v="Paketlemede"/>
  </r>
  <r>
    <d v="2020-03-23T14:54:00"/>
    <s v="BU-0070"/>
    <s v="Burcu"/>
    <s v="Aydın"/>
    <x v="3"/>
    <s v="Monitör"/>
    <n v="10"/>
    <s v="Tslm Edldi"/>
  </r>
  <r>
    <d v="2020-01-06T16:18:00"/>
    <s v="MU-0071"/>
    <s v="Muhammet"/>
    <s v="Devran Kılıç"/>
    <x v="6"/>
    <s v="Oyun Konsolu"/>
    <n v="10"/>
    <s v="Tslm Edldi"/>
  </r>
  <r>
    <d v="2020-11-24T08:12:00"/>
    <s v="Sİ-0072"/>
    <s v="Simender"/>
    <s v="Aksun"/>
    <x v="6"/>
    <s v="Hard Disk"/>
    <n v="6"/>
    <s v="Tslm Edldi"/>
  </r>
  <r>
    <d v="2020-02-28T16:48:00"/>
    <s v="Fİ-0073"/>
    <s v="Filiz"/>
    <s v="Çetemen"/>
    <x v="0"/>
    <s v="Mouse"/>
    <n v="9"/>
    <s v="Paketlemede"/>
  </r>
  <r>
    <d v="2020-03-01T13:30:00"/>
    <s v="Fİ-0075"/>
    <s v="Filiz"/>
    <s v="Tepe"/>
    <x v="2"/>
    <s v="Laptop"/>
    <n v="8"/>
    <s v="Tslm Edldi"/>
  </r>
  <r>
    <d v="2020-08-23T19:54:00"/>
    <s v="MU-0076"/>
    <s v="Mustafa"/>
    <s v="Kemal Belgemen"/>
    <x v="4"/>
    <s v="Drone"/>
    <n v="10"/>
    <s v="Tslm Edldi"/>
  </r>
  <r>
    <d v="2020-06-23T22:00:00"/>
    <s v="HA-0077"/>
    <s v="Hande"/>
    <s v="Esen"/>
    <x v="6"/>
    <s v="Kartuş"/>
    <n v="6"/>
    <s v="Tslm Edldi"/>
  </r>
  <r>
    <d v="2020-10-19T14:18:00"/>
    <s v="EV-0078"/>
    <s v="Evre"/>
    <s v="Köşker"/>
    <x v="7"/>
    <s v="Kartuş"/>
    <n v="4"/>
    <s v="Tslm Edldi"/>
  </r>
  <r>
    <d v="2020-11-16T08:25:00"/>
    <s v="GÜ-0080"/>
    <s v="Gülname"/>
    <s v="Sürmen Akyol"/>
    <x v="7"/>
    <s v="Mouse"/>
    <n v="4"/>
    <s v="Tamamlandı"/>
  </r>
  <r>
    <d v="2020-11-16T14:09:00"/>
    <s v="ZA-0081"/>
    <s v="Zahide"/>
    <s v="Yüzbaşıoğlu"/>
    <x v="1"/>
    <s v="Yazıcı"/>
    <n v="3"/>
    <s v="Tamamlandı"/>
  </r>
  <r>
    <d v="2020-12-14T20:36:00"/>
    <s v="GÜ-0082"/>
    <s v="Güldehen"/>
    <s v="Doğan"/>
    <x v="5"/>
    <s v="Monitör"/>
    <n v="6"/>
    <s v="Tslm Edldi"/>
  </r>
  <r>
    <d v="2020-09-12T14:16:00"/>
    <s v="RU-0083"/>
    <s v="Rukiye"/>
    <s v="Çalışkantürk"/>
    <x v="7"/>
    <s v="TV"/>
    <n v="10"/>
    <s v="Tslm Edldi"/>
  </r>
  <r>
    <d v="2020-08-24T13:13:00"/>
    <s v="IŞ-0084"/>
    <s v="Işık"/>
    <s v="Özel"/>
    <x v="4"/>
    <s v="Laptop"/>
    <n v="3"/>
    <s v="Tslm Edldi"/>
  </r>
  <r>
    <d v="2020-11-21T22:41:00"/>
    <s v="SO-0085"/>
    <s v="Sonay"/>
    <s v="Yiğit Kuplay"/>
    <x v="5"/>
    <s v="Oyun Konsolu"/>
    <n v="8"/>
    <s v="Tslm Edldi"/>
  </r>
  <r>
    <d v="2020-02-24T16:50:00"/>
    <s v="ME-0086"/>
    <s v="Mete"/>
    <s v="Ercan"/>
    <x v="6"/>
    <s v="Kulaklık"/>
    <n v="8"/>
    <s v="Tslm Edldi"/>
  </r>
  <r>
    <d v="2020-05-12T22:38:00"/>
    <s v="HA-0088"/>
    <s v="Hatice"/>
    <s v="Eylül Alpınar"/>
    <x v="2"/>
    <s v="Laptop"/>
    <n v="8"/>
    <s v="Tamamlandı"/>
  </r>
  <r>
    <d v="2020-12-05T10:04:00"/>
    <s v="HA-0089"/>
    <s v="Hasan"/>
    <s v="Kaya"/>
    <x v="8"/>
    <s v="TV"/>
    <n v="5"/>
    <s v="Paketlemede"/>
  </r>
  <r>
    <d v="2020-08-19T14:41:00"/>
    <s v="İZ-0090"/>
    <s v="İzzet"/>
    <s v="Onan"/>
    <x v="4"/>
    <s v="Kartuş"/>
    <n v="8"/>
    <s v="Tslm Edldi"/>
  </r>
  <r>
    <d v="2020-07-01T08:37:00"/>
    <s v="HA-0091"/>
    <s v="Haci"/>
    <s v="Halil Kırhan"/>
    <x v="7"/>
    <s v="Klavye"/>
    <n v="5"/>
    <s v="Paketlemede"/>
  </r>
  <r>
    <d v="2020-12-20T09:59:00"/>
    <s v="SE-0092"/>
    <s v="Seda"/>
    <s v="Elçim Özçay"/>
    <x v="7"/>
    <s v="Kartuş"/>
    <n v="9"/>
    <s v="Tslm Edldi"/>
  </r>
  <r>
    <d v="2020-08-25T09:14:00"/>
    <s v="TU-0093"/>
    <s v="Tuğba"/>
    <s v="Özdemir Akdur"/>
    <x v="7"/>
    <s v="Telefon"/>
    <n v="4"/>
    <s v="Tamamlandı"/>
  </r>
  <r>
    <d v="2020-02-16T12:00:00"/>
    <s v="ÖZ-0094"/>
    <s v="Özlem"/>
    <s v="Yıldırım"/>
    <x v="2"/>
    <s v="Hard Disk"/>
    <n v="5"/>
    <s v="Paketlemede"/>
  </r>
  <r>
    <d v="2020-02-02T15:27:00"/>
    <s v="NU-0095"/>
    <s v="Nurcan"/>
    <s v="Saraç"/>
    <x v="7"/>
    <s v="Mouse"/>
    <n v="10"/>
    <s v="Tslm Edldi"/>
  </r>
  <r>
    <d v="2020-11-06T13:45:00"/>
    <s v="YA-0096"/>
    <s v="Yaşar"/>
    <s v="Gökhan Ay Güney"/>
    <x v="7"/>
    <s v="Kamera"/>
    <n v="6"/>
    <s v="Tslm Edldi"/>
  </r>
  <r>
    <d v="2020-09-12T11:43:00"/>
    <s v="GÖ-0097"/>
    <s v="Gökmen"/>
    <s v="Alpaslan Gündüz"/>
    <x v="3"/>
    <s v="Drone"/>
    <n v="3"/>
    <s v="Paketlemede"/>
  </r>
  <r>
    <d v="2020-02-04T11:08:00"/>
    <s v="ER-0098"/>
    <s v="Erhan"/>
    <s v="Güven Meşe"/>
    <x v="1"/>
    <s v="Kamera"/>
    <n v="7"/>
    <s v="Tslm Edldi"/>
  </r>
  <r>
    <d v="2020-05-03T18:31:00"/>
    <s v="TU-0099"/>
    <s v="Tuna"/>
    <s v="İner Köksal"/>
    <x v="8"/>
    <s v="Klavye"/>
    <n v="10"/>
    <s v="Tamamlandı"/>
  </r>
  <r>
    <d v="2020-09-19T09:56:00"/>
    <s v="MU-00100"/>
    <s v="Mustafa"/>
    <s v="Eker"/>
    <x v="5"/>
    <s v="Laptop"/>
    <n v="4"/>
    <s v="Paketlemede"/>
  </r>
  <r>
    <d v="2020-07-16T14:45:00"/>
    <s v="Nİ-00102"/>
    <s v="Nilay"/>
    <s v="Işıklı"/>
    <x v="2"/>
    <s v="Kartuş"/>
    <n v="6"/>
    <s v="Tslm Edldi"/>
  </r>
  <r>
    <d v="2020-11-16T18:03:00"/>
    <s v="FA-00103"/>
    <s v="Fatma"/>
    <s v="Esin Çetin"/>
    <x v="3"/>
    <s v="Yazıcı"/>
    <n v="6"/>
    <s v="Tslm Edldi"/>
  </r>
  <r>
    <d v="2020-01-07T08:43:00"/>
    <s v="IŞ-00104"/>
    <s v="Işıl"/>
    <s v="Güzel"/>
    <x v="8"/>
    <s v="Monitör"/>
    <n v="3"/>
    <s v="Paketlemede"/>
  </r>
  <r>
    <d v="2020-09-09T13:05:00"/>
    <s v="ZA-00105"/>
    <s v="Zafer"/>
    <s v="Yurdakök"/>
    <x v="1"/>
    <s v="Hard Disk"/>
    <n v="3"/>
    <s v="Tslm Edldi"/>
  </r>
  <r>
    <d v="2020-06-17T22:01:00"/>
    <s v="BU-00106"/>
    <s v="Burcu"/>
    <s v="Ergün"/>
    <x v="0"/>
    <s v="TV"/>
    <n v="9"/>
    <s v="Tamamlandı"/>
  </r>
  <r>
    <d v="2020-08-28T14:47:00"/>
    <s v="ZE-00107"/>
    <s v="Zeynep"/>
    <s v="Kılıç"/>
    <x v="7"/>
    <s v="Kulaklık"/>
    <n v="7"/>
    <s v="Paketlemede"/>
  </r>
  <r>
    <d v="2020-11-12T15:05:00"/>
    <s v="İK-00108"/>
    <s v="İkram"/>
    <s v="Şahin Duyar"/>
    <x v="5"/>
    <s v="Oyun Konsolu"/>
    <n v="4"/>
    <s v="Tslm Edldi"/>
  </r>
  <r>
    <d v="2020-02-02T20:52:00"/>
    <s v="RE-00109"/>
    <s v="Recep"/>
    <s v="Gani Bektaş"/>
    <x v="1"/>
    <s v="Monitör"/>
    <n v="5"/>
    <s v="Tslm Edldi"/>
  </r>
  <r>
    <d v="2020-08-13T12:25:00"/>
    <s v="SA-00111"/>
    <s v="Salih"/>
    <s v="Cirit Koçer"/>
    <x v="4"/>
    <s v="Oyun Konsolu"/>
    <n v="6"/>
    <s v="Tslm Edldi"/>
  </r>
  <r>
    <d v="2020-10-08T12:15:00"/>
    <s v="EB-00112"/>
    <s v="Ebru"/>
    <s v="Kayaoğlu"/>
    <x v="8"/>
    <s v="Drone"/>
    <n v="3"/>
    <s v="Paketlemede"/>
  </r>
  <r>
    <d v="2020-01-06T21:03:00"/>
    <s v="SE-00113"/>
    <s v="Seçkin"/>
    <s v="Başman"/>
    <x v="2"/>
    <s v="Webcam"/>
    <n v="8"/>
    <s v="Paketlemede"/>
  </r>
  <r>
    <d v="2020-03-16T12:56:00"/>
    <s v="FE-00114"/>
    <s v="Ferda"/>
    <s v="Karacan"/>
    <x v="8"/>
    <s v="Kamera"/>
    <n v="9"/>
    <s v="Tslm Edldi"/>
  </r>
  <r>
    <d v="2020-05-17T19:15:00"/>
    <s v="PI-00115"/>
    <s v="Pınar"/>
    <s v="Altun"/>
    <x v="1"/>
    <s v="Klavye"/>
    <n v="6"/>
    <s v="Tamamlandı"/>
  </r>
  <r>
    <d v="2020-10-22T12:35:00"/>
    <s v="Bİ-00117"/>
    <s v="Birgül"/>
    <s v="Öztürk"/>
    <x v="7"/>
    <s v="Kartuş"/>
    <n v="8"/>
    <s v="Tamamlandı"/>
  </r>
  <r>
    <d v="2020-12-08T08:07:00"/>
    <s v="AY-00118"/>
    <s v="Ayşe"/>
    <s v="Gül Karadeniz"/>
    <x v="2"/>
    <s v="Kamera"/>
    <n v="6"/>
    <s v="Tamamlandı"/>
  </r>
  <r>
    <d v="2020-03-09T17:04:00"/>
    <s v="BU-00119"/>
    <s v="Burcu"/>
    <s v="Şentürk"/>
    <x v="7"/>
    <s v="Laptop"/>
    <n v="6"/>
    <s v="Tslm Edldi"/>
  </r>
  <r>
    <d v="2020-06-14T20:50:00"/>
    <s v="Nİ-00120"/>
    <s v="Nilay"/>
    <s v="Emlakçıoğlu"/>
    <x v="0"/>
    <s v="Monitör"/>
    <n v="7"/>
    <s v="Paketlemede"/>
  </r>
  <r>
    <d v="2020-03-02T09:15:00"/>
    <s v="Nİ-00122"/>
    <s v="Nizamettin"/>
    <s v="Karadağ Geçgel"/>
    <x v="8"/>
    <s v="Oyun Konsolu"/>
    <n v="3"/>
    <s v="Tslm Edldi"/>
  </r>
  <r>
    <d v="2020-11-16T21:49:00"/>
    <s v="YA-00123"/>
    <s v="Yasemin"/>
    <s v="Sarıca Darol"/>
    <x v="3"/>
    <s v="Kamera"/>
    <n v="5"/>
    <s v="Paketlemede"/>
  </r>
  <r>
    <d v="2020-07-03T14:34:00"/>
    <s v="AB-00124"/>
    <s v="Abdullah"/>
    <s v="Arif Atay"/>
    <x v="1"/>
    <s v="Telefon"/>
    <n v="10"/>
    <s v="Tslm Edldi"/>
  </r>
  <r>
    <d v="2020-05-27T19:35:00"/>
    <s v="AY-00125"/>
    <s v="Aydın"/>
    <s v="Öden"/>
    <x v="6"/>
    <s v="Mouse"/>
    <n v="9"/>
    <s v="Tslm Edldi"/>
  </r>
  <r>
    <d v="2020-01-24T11:04:00"/>
    <s v="LE-00126"/>
    <s v="Levent"/>
    <s v="Yavuz"/>
    <x v="4"/>
    <s v="Webcam"/>
    <n v="3"/>
    <s v="Tamamlandı"/>
  </r>
  <r>
    <d v="2020-07-24T09:04:00"/>
    <s v="SE-00127"/>
    <s v="Serhan"/>
    <s v="Hodjaoglu"/>
    <x v="2"/>
    <s v="TV"/>
    <n v="10"/>
    <s v="Sipariş İptali"/>
  </r>
  <r>
    <d v="2020-03-03T16:09:00"/>
    <s v="Dİ-00129"/>
    <s v="Dilara"/>
    <s v="Çelik"/>
    <x v="8"/>
    <s v="Yazıcı"/>
    <n v="5"/>
    <s v="Tamamlandı"/>
  </r>
  <r>
    <d v="2020-03-18T12:58:00"/>
    <s v="EM-00130"/>
    <s v="Emine"/>
    <s v="Bayraktar"/>
    <x v="0"/>
    <s v="Mouse"/>
    <n v="9"/>
    <s v="Tslm Edldi"/>
  </r>
  <r>
    <d v="2020-08-09T18:22:00"/>
    <s v="ME-00131"/>
    <s v="Mehmet"/>
    <s v="Özer Çipe"/>
    <x v="1"/>
    <s v="TV"/>
    <n v="7"/>
    <s v="Tamamlandı"/>
  </r>
  <r>
    <d v="2020-07-10T18:37:00"/>
    <s v="HA-00132"/>
    <s v="Haluk"/>
    <s v="Karatoprak"/>
    <x v="3"/>
    <s v="Monitör"/>
    <n v="5"/>
    <s v="Tslm Edldi"/>
  </r>
  <r>
    <d v="2020-10-10T22:30:00"/>
    <s v="ME-00133"/>
    <s v="Mehmet"/>
    <s v="Taşar"/>
    <x v="3"/>
    <s v="Yazıcı"/>
    <n v="8"/>
    <s v="Tslm Edldi"/>
  </r>
  <r>
    <d v="2020-02-05T13:08:00"/>
    <s v="BU-00134"/>
    <s v="Burcu"/>
    <s v="Pişirgen"/>
    <x v="3"/>
    <s v="Webcam"/>
    <n v="9"/>
    <s v="Tslm Edldi"/>
  </r>
  <r>
    <d v="2020-01-15T10:13:00"/>
    <s v="ER-00135"/>
    <s v="Erkan"/>
    <s v="Kaya"/>
    <x v="1"/>
    <s v="Yazıcı"/>
    <n v="7"/>
    <s v="Tamamlandı"/>
  </r>
  <r>
    <d v="2020-01-28T16:27:00"/>
    <s v="İL-00137"/>
    <s v="İlhan"/>
    <s v="Alkurt Kayıkçı"/>
    <x v="7"/>
    <s v="Kulaklık"/>
    <n v="6"/>
    <s v="Tamamlandı"/>
  </r>
  <r>
    <d v="2020-01-26T12:52:00"/>
    <s v="TO-00138"/>
    <s v="Tolunay"/>
    <s v="Günbey"/>
    <x v="4"/>
    <s v="Hard Disk"/>
    <n v="6"/>
    <s v="Tslm Edldi"/>
  </r>
  <r>
    <d v="2020-03-22T17:57:00"/>
    <s v="AS-00139"/>
    <s v="Asudan"/>
    <s v="Tuğçe Öztürkeri"/>
    <x v="5"/>
    <s v="Kartuş"/>
    <n v="7"/>
    <s v="Tamamlandı"/>
  </r>
  <r>
    <d v="2020-10-02T19:29:00"/>
    <s v="ES-00140"/>
    <s v="Esen"/>
    <s v="İbrahim Urfalı"/>
    <x v="6"/>
    <s v="Monitör"/>
    <n v="7"/>
    <s v="Paketlemede"/>
  </r>
  <r>
    <d v="2020-04-17T17:02:00"/>
    <s v="ZE-00141"/>
    <s v="Zerin"/>
    <s v="Sürmen Akyol"/>
    <x v="8"/>
    <s v="Laptop"/>
    <n v="3"/>
    <s v="Tslm Edldi"/>
  </r>
  <r>
    <d v="2020-09-14T11:20:00"/>
    <s v="EN-00142"/>
    <s v="Enver"/>
    <s v="Özmen"/>
    <x v="1"/>
    <s v="Hard Disk"/>
    <n v="3"/>
    <s v="Paketlemede"/>
  </r>
  <r>
    <d v="2020-08-19T20:18:00"/>
    <s v="OK-00143"/>
    <s v="Okan"/>
    <s v="Bayraktar"/>
    <x v="0"/>
    <s v="Oyun Konsolu"/>
    <n v="9"/>
    <s v="Paketlemede"/>
  </r>
  <r>
    <d v="2020-01-09T12:17:00"/>
    <s v="YA-00144"/>
    <s v="Yasin"/>
    <s v="Ertem"/>
    <x v="1"/>
    <s v="Telefon"/>
    <n v="10"/>
    <s v="Tslm Edldi"/>
  </r>
  <r>
    <d v="2020-11-14T08:25:00"/>
    <s v="KA-00145"/>
    <s v="Kadir"/>
    <s v="Demirtaş"/>
    <x v="2"/>
    <s v="Laptop"/>
    <n v="7"/>
    <s v="Tamamlandı"/>
  </r>
  <r>
    <d v="2020-11-24T10:34:00"/>
    <s v="NU-00146"/>
    <s v="Nurdan"/>
    <s v="Kılıç"/>
    <x v="4"/>
    <s v="Telefon"/>
    <n v="9"/>
    <s v="Paketlemede"/>
  </r>
  <r>
    <d v="2020-02-11T12:39:00"/>
    <s v="GA-00147"/>
    <s v="Gamze"/>
    <s v="Öğütmen Koç"/>
    <x v="7"/>
    <s v="Hard Disk"/>
    <n v="3"/>
    <s v="Tamamlandı"/>
  </r>
  <r>
    <d v="2020-09-23T18:30:00"/>
    <s v="SE-00148"/>
    <s v="Serkan"/>
    <s v="Fazlı Alpsan Gökmen"/>
    <x v="5"/>
    <s v="Kulaklık"/>
    <n v="9"/>
    <s v="Tslm Edldi"/>
  </r>
  <r>
    <d v="2020-03-28T08:23:00"/>
    <s v="SE-00149"/>
    <s v="Selma"/>
    <s v="Sözen"/>
    <x v="1"/>
    <s v="Klavye"/>
    <n v="4"/>
    <s v="Tslm Edldi"/>
  </r>
  <r>
    <d v="2020-03-23T13:10:00"/>
    <s v="AD-00150"/>
    <s v="Adem"/>
    <s v="Balaban"/>
    <x v="2"/>
    <s v="Klavye"/>
    <n v="5"/>
    <s v="Tslm Edldi"/>
  </r>
  <r>
    <d v="2020-07-03T11:58:00"/>
    <s v="CE-00151"/>
    <s v="Cem"/>
    <s v="Topaloğlu"/>
    <x v="2"/>
    <s v="Yazıcı"/>
    <n v="6"/>
    <s v="Tslm Edldi"/>
  </r>
  <r>
    <d v="2020-06-21T16:17:00"/>
    <s v="MU-00152"/>
    <s v="Mukaddes"/>
    <s v="Şen"/>
    <x v="2"/>
    <s v="Kamera"/>
    <n v="6"/>
    <s v="Tslm Edldi"/>
  </r>
  <r>
    <d v="2020-06-24T09:52:00"/>
    <s v="ÖV-00153"/>
    <s v="Övgü"/>
    <s v="Anıl Sarı"/>
    <x v="2"/>
    <s v="Telefon"/>
    <n v="3"/>
    <s v="Tslm Edldi"/>
  </r>
  <r>
    <d v="2020-12-16T21:57:00"/>
    <s v="SE-00154"/>
    <s v="Serhan"/>
    <s v="Akdeniz"/>
    <x v="2"/>
    <s v="Yazıcı"/>
    <n v="8"/>
    <s v="Tamamlandı"/>
  </r>
  <r>
    <d v="2020-02-27T14:07:00"/>
    <s v="BE-00155"/>
    <s v="Berçem"/>
    <s v="Özdemir"/>
    <x v="8"/>
    <s v="Laptop"/>
    <n v="10"/>
    <s v="Tslm Edldi"/>
  </r>
  <r>
    <d v="2020-09-21T14:46:00"/>
    <s v="MU-00156"/>
    <s v="Murat"/>
    <s v="Yılmaz"/>
    <x v="8"/>
    <s v="Telefon"/>
    <n v="7"/>
    <s v="Tamamlandı"/>
  </r>
  <r>
    <d v="2020-01-20T18:53:00"/>
    <s v="Dİ-00157"/>
    <s v="Dinçer"/>
    <s v="Aydın Gayretli Aydın"/>
    <x v="4"/>
    <s v="Klavye"/>
    <n v="7"/>
    <s v="Tslm Edldi"/>
  </r>
  <r>
    <d v="2020-11-28T22:04:00"/>
    <s v="ÖZ-00158"/>
    <s v="Özlem"/>
    <s v="Eser"/>
    <x v="0"/>
    <s v="Klavye"/>
    <n v="6"/>
    <s v="Tamamlandı"/>
  </r>
  <r>
    <d v="2020-06-16T13:27:00"/>
    <s v="ER-00159"/>
    <s v="Ergül"/>
    <s v="Sanhal"/>
    <x v="7"/>
    <s v="Mouse"/>
    <n v="7"/>
    <s v="Tslm Edldi"/>
  </r>
  <r>
    <d v="2020-01-17T08:44:00"/>
    <s v="AL-00160"/>
    <s v="Alevtina"/>
    <s v="Altınboğa"/>
    <x v="4"/>
    <s v="Kartuş"/>
    <n v="5"/>
    <s v="Tslm Edldi"/>
  </r>
  <r>
    <d v="2020-06-26T16:08:00"/>
    <s v="OS-00161"/>
    <s v="Osman"/>
    <s v="Ersegun Kişi"/>
    <x v="3"/>
    <s v="Yazıcı"/>
    <n v="8"/>
    <s v="Tslm Edldi"/>
  </r>
  <r>
    <d v="2020-12-26T21:08:00"/>
    <s v="MU-00162"/>
    <s v="Mustafa"/>
    <s v="Kemal Ünsal"/>
    <x v="4"/>
    <s v="Yazıcı"/>
    <n v="8"/>
    <s v="Tamamlandı"/>
  </r>
  <r>
    <d v="2020-04-28T15:48:00"/>
    <s v="MA-00163"/>
    <s v="Mahmut"/>
    <s v="Nuri Metineren"/>
    <x v="7"/>
    <s v="Kulaklık"/>
    <n v="4"/>
    <s v="Tslm Edldi"/>
  </r>
  <r>
    <d v="2020-06-15T17:37:00"/>
    <s v="HA-00164"/>
    <s v="Hale"/>
    <s v="Kalem"/>
    <x v="1"/>
    <s v="Hard Disk"/>
    <n v="8"/>
    <s v="Tslm Edldi"/>
  </r>
  <r>
    <d v="2020-11-07T22:29:00"/>
    <s v="GÜ-00165"/>
    <s v="Güneş"/>
    <s v="Onar Şekerci"/>
    <x v="2"/>
    <s v="Webcam"/>
    <n v="9"/>
    <s v="Tamamlandı"/>
  </r>
  <r>
    <d v="2020-02-20T17:08:00"/>
    <s v="MU-00166"/>
    <s v="Muhammet"/>
    <s v="Fatih Bayraktaroğlu"/>
    <x v="8"/>
    <s v="Kamera"/>
    <n v="9"/>
    <s v="Tamamlandı"/>
  </r>
  <r>
    <d v="2020-05-23T21:44:00"/>
    <s v="ES-00167"/>
    <s v="Esra"/>
    <s v="Acar"/>
    <x v="2"/>
    <s v="Webcam"/>
    <n v="6"/>
    <s v="Tslm Edldi"/>
  </r>
  <r>
    <d v="2020-05-12T13:24:00"/>
    <s v="PI-00168"/>
    <s v="Pınar"/>
    <s v="Büyükcam"/>
    <x v="6"/>
    <s v="Klavye"/>
    <n v="7"/>
    <s v="Tslm Edldi"/>
  </r>
  <r>
    <d v="2020-05-19T21:17:00"/>
    <s v="ŞA-00169"/>
    <s v="Şahabettin"/>
    <s v="Kaba"/>
    <x v="7"/>
    <s v="TV"/>
    <n v="9"/>
    <s v="Tslm Edldi"/>
  </r>
  <r>
    <d v="2020-06-17T15:43:00"/>
    <s v="HÜ-00170"/>
    <s v="Hüseyin"/>
    <s v="Saf"/>
    <x v="4"/>
    <s v="Mouse"/>
    <n v="8"/>
    <s v="Tslm Edldi"/>
  </r>
  <r>
    <d v="2020-05-01T08:33:00"/>
    <s v="ÖM-00171"/>
    <s v="Ömer"/>
    <s v="Öztürk"/>
    <x v="0"/>
    <s v="Kulaklık"/>
    <n v="6"/>
    <s v="Tamamlandı"/>
  </r>
  <r>
    <d v="2020-09-25T09:41:00"/>
    <s v="EV-00172"/>
    <s v="Evrim"/>
    <s v="Değirmenci"/>
    <x v="4"/>
    <s v="Mouse"/>
    <n v="4"/>
    <s v="Paketlemede"/>
  </r>
  <r>
    <d v="2020-12-26T21:14:00"/>
    <s v="KÜ-00173"/>
    <s v="Kürşat"/>
    <s v="Akyol"/>
    <x v="2"/>
    <s v="Hard Disk"/>
    <n v="9"/>
    <s v="Tamamlandı"/>
  </r>
  <r>
    <d v="2020-11-06T20:24:00"/>
    <s v="GÜ-00174"/>
    <s v="Gülden"/>
    <s v="Boduroğlu"/>
    <x v="6"/>
    <s v="Kulaklık"/>
    <n v="5"/>
    <s v="Tslm Edldi"/>
  </r>
  <r>
    <d v="2020-10-15T09:59:00"/>
    <s v="SE-00175"/>
    <s v="Serhat"/>
    <s v="Öztürk"/>
    <x v="1"/>
    <s v="Laptop"/>
    <n v="7"/>
    <s v="Tslm Edldi"/>
  </r>
  <r>
    <d v="2020-07-21T17:05:00"/>
    <s v="SE-00176"/>
    <s v="Sema"/>
    <s v="Ak"/>
    <x v="2"/>
    <s v="Oyun Konsolu"/>
    <n v="10"/>
    <s v="Paketlemede"/>
  </r>
  <r>
    <d v="2020-11-25T21:18:00"/>
    <s v="SE-00177"/>
    <s v="Serkan"/>
    <s v="Fazlı Çetin"/>
    <x v="4"/>
    <s v="TV"/>
    <n v="9"/>
    <s v="Tslm Edldi"/>
  </r>
  <r>
    <d v="2020-12-02T21:59:00"/>
    <s v="MA-00178"/>
    <s v="Mahmut"/>
    <s v="Nuri Demirtaş"/>
    <x v="8"/>
    <s v="Hard Disk"/>
    <n v="3"/>
    <s v="Tslm Edldi"/>
  </r>
  <r>
    <d v="2020-07-07T09:48:00"/>
    <s v="AY-00179"/>
    <s v="Ayşe"/>
    <s v="Nar"/>
    <x v="3"/>
    <s v="Hard Disk"/>
    <n v="6"/>
    <s v="Tamamlandı"/>
  </r>
  <r>
    <d v="2020-05-17T16:12:00"/>
    <s v="Mİ-00180"/>
    <s v="Mine"/>
    <s v="Canacankatan"/>
    <x v="8"/>
    <s v="Drone"/>
    <n v="6"/>
    <s v="Tslm Edldi"/>
  </r>
  <r>
    <d v="2020-04-15T22:11:00"/>
    <s v="CE-00181"/>
    <s v="Ceyda"/>
    <s v="Günay"/>
    <x v="7"/>
    <s v="Kartuş"/>
    <n v="5"/>
    <s v="Tslm Edldi"/>
  </r>
  <r>
    <d v="2020-09-14T11:59:00"/>
    <s v="Sİ-00182"/>
    <s v="Sinan"/>
    <s v="Çay"/>
    <x v="6"/>
    <s v="Mouse"/>
    <n v="4"/>
    <s v="Tslm Edldi"/>
  </r>
  <r>
    <d v="2020-10-01T08:43:00"/>
    <s v="ER-00183"/>
    <s v="Ergül"/>
    <s v="Uzun"/>
    <x v="0"/>
    <s v="Yazıcı"/>
    <n v="6"/>
    <s v="Tslm Edldi"/>
  </r>
  <r>
    <d v="2020-05-19T17:45:00"/>
    <s v="ÖZ-00184"/>
    <s v="Özgür"/>
    <s v="Özdemir"/>
    <x v="4"/>
    <s v="Mouse"/>
    <n v="8"/>
    <s v="Tamamlandı"/>
  </r>
  <r>
    <d v="2020-03-21T09:14:00"/>
    <s v="VE-00185"/>
    <s v="Vedat"/>
    <s v="Eryavuz"/>
    <x v="4"/>
    <s v="Yazıcı"/>
    <n v="7"/>
    <s v="Tamamlandı"/>
  </r>
  <r>
    <d v="2020-01-13T13:33:00"/>
    <s v="KE-00186"/>
    <s v="Kenan"/>
    <s v="Gülşan"/>
    <x v="2"/>
    <s v="TV"/>
    <n v="6"/>
    <s v="Tslm Edldi"/>
  </r>
  <r>
    <d v="2020-12-22T14:31:00"/>
    <s v="Nİ-00187"/>
    <s v="Nihal"/>
    <s v="Karakoyun"/>
    <x v="8"/>
    <s v="Mouse"/>
    <n v="5"/>
    <s v="Tslm Edldi"/>
  </r>
  <r>
    <d v="2020-02-12T08:52:00"/>
    <s v="ÖZ-00188"/>
    <s v="Özlem"/>
    <s v="Uysal"/>
    <x v="7"/>
    <s v="Monitör"/>
    <n v="10"/>
    <s v="Tslm Edldi"/>
  </r>
  <r>
    <d v="2020-10-01T09:32:00"/>
    <s v="HA-00189"/>
    <s v="Haşim"/>
    <s v="Onur Arga"/>
    <x v="3"/>
    <s v="Hard Disk"/>
    <n v="10"/>
    <s v="Tslm Edldi"/>
  </r>
  <r>
    <d v="2020-07-21T13:48:00"/>
    <s v="ER-00190"/>
    <s v="Erdal"/>
    <s v="Yurt"/>
    <x v="3"/>
    <s v="Kamera"/>
    <n v="6"/>
    <s v="Tamamlandı"/>
  </r>
  <r>
    <d v="2020-02-26T14:49:00"/>
    <s v="AY-00191"/>
    <s v="Aysel"/>
    <s v="Çatak"/>
    <x v="6"/>
    <s v="Kulaklık"/>
    <n v="5"/>
    <s v="Tamamlandı"/>
  </r>
  <r>
    <d v="2020-01-05T17:01:00"/>
    <s v="HA-00192"/>
    <s v="Halil"/>
    <s v="İbrahim Mercan"/>
    <x v="4"/>
    <s v="Mouse"/>
    <n v="5"/>
    <s v="Tslm Edldi"/>
  </r>
  <r>
    <d v="2020-09-26T20:26:00"/>
    <s v="GÜ-00193"/>
    <s v="Günay"/>
    <s v="Korkmaz"/>
    <x v="1"/>
    <s v="TV"/>
    <n v="9"/>
    <s v="Tslm Edldi"/>
  </r>
  <r>
    <d v="2020-12-16T08:19:00"/>
    <s v="TU-00194"/>
    <s v="Tuba"/>
    <s v="Çetinkor"/>
    <x v="4"/>
    <s v="Monitör"/>
    <n v="5"/>
    <s v="Tslm Edldi"/>
  </r>
  <r>
    <d v="2020-05-05T09:30:00"/>
    <s v="MU-00195"/>
    <s v="Mutlu"/>
    <s v="Sayın"/>
    <x v="1"/>
    <s v="Klavye"/>
    <n v="10"/>
    <s v="Tslm Edldi"/>
  </r>
  <r>
    <d v="2020-04-07T18:25:00"/>
    <s v="ME-00196"/>
    <s v="Mehmet"/>
    <s v="Reşit Yıldız"/>
    <x v="1"/>
    <s v="TV"/>
    <n v="7"/>
    <s v="Tslm Edldi"/>
  </r>
  <r>
    <d v="2020-11-13T18:01:00"/>
    <s v="İB-00197"/>
    <s v="İbrahim"/>
    <s v="Sari"/>
    <x v="6"/>
    <s v="Hard Disk"/>
    <n v="3"/>
    <s v="Tslm Edldi"/>
  </r>
  <r>
    <d v="2020-01-10T18:54:00"/>
    <s v="MA-00198"/>
    <s v="Mahmut"/>
    <s v="Kılıç"/>
    <x v="5"/>
    <s v="Kamera"/>
    <n v="7"/>
    <s v="Tslm Edldi"/>
  </r>
  <r>
    <d v="2020-01-27T16:29:00"/>
    <s v="UM-00199"/>
    <s v="Umut"/>
    <s v="Seda Özen"/>
    <x v="0"/>
    <s v="Telefon"/>
    <n v="10"/>
    <s v="Tslm Edldi"/>
  </r>
  <r>
    <d v="2020-03-17T08:03:00"/>
    <s v="GÖ-00200"/>
    <s v="Gökhan"/>
    <s v="İner Köksal"/>
    <x v="3"/>
    <s v="Laptop"/>
    <n v="5"/>
    <s v="Paketlemede"/>
  </r>
  <r>
    <d v="2020-10-02T20:07:00"/>
    <s v="FA-00201"/>
    <s v="Fatih"/>
    <s v="Ergülü Eşmen"/>
    <x v="2"/>
    <s v="TV"/>
    <n v="8"/>
    <s v="Paketlemede"/>
  </r>
  <r>
    <d v="2020-12-03T20:23:00"/>
    <s v="NE-00202"/>
    <s v="Neslihan"/>
    <s v="Ünal"/>
    <x v="4"/>
    <s v="Telefon"/>
    <n v="9"/>
    <s v="Kargoda"/>
  </r>
  <r>
    <d v="2020-09-24T08:45:00"/>
    <s v="MU-00203"/>
    <s v="Murat"/>
    <s v="Zorlu Karayiğit"/>
    <x v="5"/>
    <s v="Klavye"/>
    <n v="10"/>
    <s v="Tamamlandı"/>
  </r>
  <r>
    <d v="2020-09-18T22:10:00"/>
    <s v="ÖZ-00204"/>
    <s v="Öznur"/>
    <s v="Aydın"/>
    <x v="4"/>
    <s v="Kamera"/>
    <n v="7"/>
    <s v="Tslm Edldi"/>
  </r>
  <r>
    <d v="2020-08-21T09:34:00"/>
    <s v="ON-00205"/>
    <s v="Onur"/>
    <s v="Dumlu"/>
    <x v="5"/>
    <s v="Kartuş"/>
    <n v="5"/>
    <s v="Tslm Edldi"/>
  </r>
  <r>
    <d v="2020-10-26T17:24:00"/>
    <s v="Mİ-00206"/>
    <s v="Mine"/>
    <s v="Cansu Kartal"/>
    <x v="5"/>
    <s v="Telefon"/>
    <n v="8"/>
    <s v="Tslm Edldi"/>
  </r>
  <r>
    <d v="2020-02-25T08:51:00"/>
    <s v="MU-00207"/>
    <s v="Mustafa"/>
    <s v="Şanlıkan"/>
    <x v="2"/>
    <s v="Kartuş"/>
    <n v="9"/>
    <s v="Tamamlandı"/>
  </r>
  <r>
    <d v="2020-11-27T20:30:00"/>
    <s v="İB-00208"/>
    <s v="İbrahim"/>
    <s v="Asoğlu"/>
    <x v="1"/>
    <s v="Yazıcı"/>
    <n v="4"/>
    <s v="Tamamlandı"/>
  </r>
  <r>
    <d v="2020-06-04T12:36:00"/>
    <s v="Bİ-00209"/>
    <s v="Bilgin"/>
    <s v="Türkay"/>
    <x v="3"/>
    <s v="Telefon"/>
    <n v="3"/>
    <s v="Tslm Edldi"/>
  </r>
  <r>
    <d v="2020-08-21T17:42:00"/>
    <s v="DE-00210"/>
    <s v="Derviş"/>
    <s v="Yüzbaşıoğlu"/>
    <x v="3"/>
    <s v="Kulaklık"/>
    <n v="10"/>
    <s v="Tslm Edldi"/>
  </r>
  <r>
    <d v="2020-04-09T19:19:00"/>
    <s v="TU-00211"/>
    <s v="Tuba"/>
    <s v="Genç Talas"/>
    <x v="8"/>
    <s v="Telefon"/>
    <n v="5"/>
    <s v="Tamamlandı"/>
  </r>
  <r>
    <d v="2020-09-10T19:07:00"/>
    <s v="HA-00212"/>
    <s v="Haççe"/>
    <s v="Yavuz"/>
    <x v="3"/>
    <s v="Kartuş"/>
    <n v="10"/>
    <s v="Tamamlandı"/>
  </r>
  <r>
    <d v="2020-01-11T11:02:00"/>
    <s v="ES-00213"/>
    <s v="Esra"/>
    <s v="Eşkazan"/>
    <x v="0"/>
    <s v="Monitör"/>
    <n v="4"/>
    <s v="Paketlemede"/>
  </r>
  <r>
    <d v="2020-01-08T09:28:00"/>
    <s v="JA-00214"/>
    <s v="Jale"/>
    <s v="Saf"/>
    <x v="4"/>
    <s v="Kulaklık"/>
    <n v="8"/>
    <s v="Tslm Edldi"/>
  </r>
  <r>
    <d v="2020-03-21T16:43:00"/>
    <s v="İK-00215"/>
    <s v="İklil"/>
    <s v="Karacan"/>
    <x v="0"/>
    <s v="Hard Disk"/>
    <n v="5"/>
    <s v="Tamamlandı"/>
  </r>
  <r>
    <d v="2020-02-24T21:56:00"/>
    <s v="EL-00216"/>
    <s v="Elif"/>
    <s v="Gündüz"/>
    <x v="8"/>
    <s v="Telefon"/>
    <n v="8"/>
    <s v="Paketlemede"/>
  </r>
  <r>
    <d v="2020-07-23T11:50:00"/>
    <s v="HA-00217"/>
    <s v="Hayati"/>
    <s v="Atay"/>
    <x v="1"/>
    <s v="Webcam"/>
    <n v="8"/>
    <s v="Paketlemede"/>
  </r>
  <r>
    <d v="2020-02-13T11:41:00"/>
    <s v="Bİ-00218"/>
    <s v="Birsen"/>
    <s v="Gündoğdu"/>
    <x v="2"/>
    <s v="Webcam"/>
    <n v="4"/>
    <s v="Paketlemede"/>
  </r>
  <r>
    <d v="2020-07-27T21:36:00"/>
    <s v="TE-00219"/>
    <s v="Tevfik"/>
    <s v="Özgün Çatak"/>
    <x v="8"/>
    <s v="Oyun Konsolu"/>
    <n v="4"/>
    <s v="Tslm Edldi"/>
  </r>
  <r>
    <d v="2020-09-25T13:06:00"/>
    <s v="SE-00220"/>
    <s v="Serhat"/>
    <s v="Urfalı"/>
    <x v="2"/>
    <s v="Hard Disk"/>
    <n v="7"/>
    <s v="Paketlemede"/>
  </r>
  <r>
    <d v="2020-05-26T21:57:00"/>
    <s v="FA-00221"/>
    <s v="Fatma"/>
    <s v="Çelik"/>
    <x v="6"/>
    <s v="Kartuş"/>
    <n v="7"/>
    <s v="Paketlemede"/>
  </r>
  <r>
    <d v="2020-05-09T16:22:00"/>
    <s v="PI-00222"/>
    <s v="Pınar"/>
    <s v="Balal"/>
    <x v="4"/>
    <s v="Drone"/>
    <n v="5"/>
    <s v="Tslm Edldi"/>
  </r>
  <r>
    <d v="2020-06-08T17:12:00"/>
    <s v="ME-00223"/>
    <s v="Mehmet"/>
    <s v="Hilmi Öğütmen Koç"/>
    <x v="6"/>
    <s v="Hard Disk"/>
    <n v="8"/>
    <s v="Tslm Edldi"/>
  </r>
  <r>
    <d v="2020-06-23T09:54:00"/>
    <s v="HA-00224"/>
    <s v="Hayati"/>
    <s v="Ünlü"/>
    <x v="0"/>
    <s v="Kartuş"/>
    <n v="5"/>
    <s v="Paketlemede"/>
  </r>
  <r>
    <d v="2020-06-06T13:14:00"/>
    <s v="NU-00225"/>
    <s v="Nuran"/>
    <s v="Öziş"/>
    <x v="3"/>
    <s v="Telefon"/>
    <n v="9"/>
    <s v="Tslm Edldi"/>
  </r>
  <r>
    <d v="2020-04-15T17:29:00"/>
    <s v="MU-00226"/>
    <s v="Muhammet"/>
    <s v="Fatih Dilli"/>
    <x v="6"/>
    <s v="Hard Disk"/>
    <n v="10"/>
    <s v="Tslm Edldi"/>
  </r>
  <r>
    <d v="2020-09-03T15:18:00"/>
    <s v="EL-00227"/>
    <s v="Elif"/>
    <s v="Filiz"/>
    <x v="3"/>
    <s v="Telefon"/>
    <n v="9"/>
    <s v="Tslm Edldi"/>
  </r>
  <r>
    <d v="2020-02-13T10:31:00"/>
    <s v="AY-00228"/>
    <s v="Aydın"/>
    <s v="Merden"/>
    <x v="3"/>
    <s v="Kulaklık"/>
    <n v="7"/>
    <s v="Kargoda"/>
  </r>
  <r>
    <d v="2020-11-05T12:07:00"/>
    <s v="EM-00229"/>
    <s v="Emre"/>
    <s v="Aksoy"/>
    <x v="8"/>
    <s v="Webcam"/>
    <n v="8"/>
    <s v="Tslm Edldi"/>
  </r>
  <r>
    <d v="2020-03-15T08:28:00"/>
    <s v="MA-00230"/>
    <s v="Mahmut"/>
    <s v="Nuri Tavşan"/>
    <x v="4"/>
    <s v="Drone"/>
    <n v="9"/>
    <s v="Tslm Edldi"/>
  </r>
  <r>
    <d v="2020-04-15T21:08:00"/>
    <s v="MÜ-00231"/>
    <s v="Münever"/>
    <s v="Baloğlu"/>
    <x v="8"/>
    <s v="Laptop"/>
    <n v="8"/>
    <s v="Tslm Edldi"/>
  </r>
  <r>
    <d v="2020-11-18T08:44:00"/>
    <s v="FE-00232"/>
    <s v="Ferhan"/>
    <s v="Akdeniz"/>
    <x v="5"/>
    <s v="Laptop"/>
    <n v="3"/>
    <s v="Tamamlandı"/>
  </r>
  <r>
    <d v="2020-12-02T22:22:00"/>
    <s v="İH-00233"/>
    <s v="İhsan"/>
    <s v="Evrenos"/>
    <x v="4"/>
    <s v="Drone"/>
    <n v="8"/>
    <s v="Tamamlandı"/>
  </r>
  <r>
    <d v="2020-03-15T16:11:00"/>
    <s v="NE-00234"/>
    <s v="Nevriye"/>
    <s v="Duman"/>
    <x v="3"/>
    <s v="Telefon"/>
    <n v="6"/>
    <s v="Tamamlandı"/>
  </r>
  <r>
    <d v="2020-04-05T17:18:00"/>
    <s v="LA-00235"/>
    <s v="Latife"/>
    <s v="Havas"/>
    <x v="3"/>
    <s v="Oyun Konsolu"/>
    <n v="10"/>
    <s v="Paketlemede"/>
  </r>
  <r>
    <d v="2020-05-23T08:13:00"/>
    <s v="AY-00236"/>
    <s v="Ayşe"/>
    <s v="Akcan Paksoy"/>
    <x v="8"/>
    <s v="TV"/>
    <n v="8"/>
    <s v="Tslm Edldi"/>
  </r>
  <r>
    <d v="2020-06-27T22:07:00"/>
    <s v="ÖM-00237"/>
    <s v="Ömer"/>
    <s v="Dokumacıoğlu"/>
    <x v="0"/>
    <s v="Telefon"/>
    <n v="5"/>
    <s v="Tslm Edldi"/>
  </r>
  <r>
    <d v="2020-09-16T08:13:00"/>
    <s v="SE-00238"/>
    <s v="Seda"/>
    <s v="Baygeldi"/>
    <x v="1"/>
    <s v="Webcam"/>
    <n v="8"/>
    <s v="Tamamlandı"/>
  </r>
  <r>
    <d v="2020-12-08T17:12:00"/>
    <s v="AR-00239"/>
    <s v="Arda"/>
    <s v="Özen"/>
    <x v="3"/>
    <s v="TV"/>
    <n v="3"/>
    <s v="Tslm Edldi"/>
  </r>
  <r>
    <d v="2020-11-26T22:52:00"/>
    <s v="EM-00240"/>
    <s v="Emine"/>
    <s v="Ardıç"/>
    <x v="0"/>
    <s v="Laptop"/>
    <n v="10"/>
    <s v="Tslm Edldi"/>
  </r>
  <r>
    <d v="2020-04-02T15:49:00"/>
    <s v="Bİ-00241"/>
    <s v="Birsen"/>
    <s v="Koç"/>
    <x v="8"/>
    <s v="Monitör"/>
    <n v="4"/>
    <s v="Tamamlandı"/>
  </r>
  <r>
    <d v="2020-01-27T15:18:00"/>
    <s v="ME-00242"/>
    <s v="Mehmet"/>
    <s v="Burhan Olpak"/>
    <x v="5"/>
    <s v="Laptop"/>
    <n v="6"/>
    <s v="Paketlemede"/>
  </r>
  <r>
    <d v="2020-09-02T16:36:00"/>
    <s v="EM-00243"/>
    <s v="Emel"/>
    <s v="Taşkıran"/>
    <x v="7"/>
    <s v="Oyun Konsolu"/>
    <n v="7"/>
    <s v="Tslm Edldi"/>
  </r>
  <r>
    <d v="2020-06-02T12:21:00"/>
    <s v="ZE-00244"/>
    <s v="Zehra"/>
    <s v="Erdem"/>
    <x v="0"/>
    <s v="Klavye"/>
    <n v="7"/>
    <s v="Tslm Edldi"/>
  </r>
  <r>
    <d v="2020-11-11T16:09:00"/>
    <s v="AH-00245"/>
    <s v="Ahmet"/>
    <s v="Serkan Murt"/>
    <x v="0"/>
    <s v="Telefon"/>
    <n v="10"/>
    <s v="Paketlemede"/>
  </r>
  <r>
    <d v="2020-02-21T19:32:00"/>
    <s v="BE-00246"/>
    <s v="Bengühan"/>
    <s v="Siğa"/>
    <x v="8"/>
    <s v="TV"/>
    <n v="10"/>
    <s v="Tslm Edldi"/>
  </r>
  <r>
    <d v="2020-08-14T09:24:00"/>
    <s v="EL-00247"/>
    <s v="Elif"/>
    <s v="Şaşmaz"/>
    <x v="1"/>
    <s v="Kamera"/>
    <n v="5"/>
    <s v="Tamamlandı"/>
  </r>
  <r>
    <d v="2020-02-27T22:37:00"/>
    <s v="EM-00248"/>
    <s v="Emine"/>
    <s v="Karacan Erşekerci"/>
    <x v="4"/>
    <s v="Mouse"/>
    <n v="9"/>
    <s v="Kargoda"/>
  </r>
  <r>
    <d v="2020-05-05T14:23:00"/>
    <s v="Şİ-00249"/>
    <s v="Şirin"/>
    <s v="Olgaç"/>
    <x v="3"/>
    <s v="Klavye"/>
    <n v="8"/>
    <s v="Paketlemede"/>
  </r>
  <r>
    <d v="2020-01-08T11:59:00"/>
    <s v="MÜ-00250"/>
    <s v="Münever"/>
    <s v="Aykan"/>
    <x v="7"/>
    <s v="Oyun Konsolu"/>
    <n v="6"/>
    <s v="Tslm Edldi"/>
  </r>
  <r>
    <d v="2020-04-17T08:05:00"/>
    <s v="HA-00251"/>
    <s v="Hasibe"/>
    <s v="Sak"/>
    <x v="2"/>
    <s v="Drone"/>
    <n v="6"/>
    <s v="Tamamlandı"/>
  </r>
  <r>
    <d v="2020-10-17T15:57:00"/>
    <s v="AD-00252"/>
    <s v="Adem"/>
    <s v="Güven Meşe"/>
    <x v="3"/>
    <s v="Laptop"/>
    <n v="9"/>
    <s v="Tamamlandı"/>
  </r>
  <r>
    <d v="2020-11-14T19:44:00"/>
    <s v="SO-00253"/>
    <s v="Songül"/>
    <s v="Kızanoğlu"/>
    <x v="4"/>
    <s v="TV"/>
    <n v="9"/>
    <s v="Tamamlandı"/>
  </r>
  <r>
    <d v="2020-03-09T11:16:00"/>
    <s v="ER-00254"/>
    <s v="Ercan"/>
    <s v="Kanık Yüksek"/>
    <x v="1"/>
    <s v="Oyun Konsolu"/>
    <n v="7"/>
    <s v="Tslm Edldi"/>
  </r>
  <r>
    <d v="2020-02-05T19:19:00"/>
    <s v="MA-00255"/>
    <s v="Mahmut"/>
    <s v="Çakır"/>
    <x v="5"/>
    <s v="TV"/>
    <n v="7"/>
    <s v="Tslm Edldi"/>
  </r>
  <r>
    <d v="2020-07-12T16:11:00"/>
    <s v="EN-00256"/>
    <s v="Ender"/>
    <s v="İlkay"/>
    <x v="4"/>
    <s v="Telefon"/>
    <n v="3"/>
    <s v="Paketlemede"/>
  </r>
  <r>
    <d v="2020-06-18T12:54:00"/>
    <s v="MA-00257"/>
    <s v="Mahmut"/>
    <s v="Özan Sanhal"/>
    <x v="2"/>
    <s v="Monitör"/>
    <n v="3"/>
    <s v="Tslm Edldi"/>
  </r>
  <r>
    <d v="2020-04-22T09:08:00"/>
    <s v="DE-00258"/>
    <s v="Demet"/>
    <s v="Toprak"/>
    <x v="0"/>
    <s v="Monitör"/>
    <n v="7"/>
    <s v="Tslm Edldi"/>
  </r>
  <r>
    <d v="2020-01-01T20:13:00"/>
    <s v="BE-00259"/>
    <s v="Bedriye"/>
    <s v="Müge Özcan"/>
    <x v="3"/>
    <s v="Kamera"/>
    <n v="5"/>
    <s v="Tslm Edldi"/>
  </r>
  <r>
    <d v="2020-10-27T13:56:00"/>
    <s v="BE-00260"/>
    <s v="Betül"/>
    <s v="Yılmaz"/>
    <x v="4"/>
    <s v="Kulaklık"/>
    <n v="3"/>
    <s v="Tamamlandı"/>
  </r>
  <r>
    <d v="2020-01-06T16:37:00"/>
    <s v="BU-00261"/>
    <s v="Burçin"/>
    <s v="Öztürk"/>
    <x v="1"/>
    <s v="Kartuş"/>
    <n v="4"/>
    <s v="Tslm Edldi"/>
  </r>
  <r>
    <d v="2020-11-19T08:57:00"/>
    <s v="NE-00262"/>
    <s v="Neşe"/>
    <s v="Kurt"/>
    <x v="7"/>
    <s v="Oyun Konsolu"/>
    <n v="10"/>
    <s v="Tamamlandı"/>
  </r>
  <r>
    <d v="2020-04-06T10:08:00"/>
    <s v="PI-00263"/>
    <s v="Pınar"/>
    <s v="Murt"/>
    <x v="6"/>
    <s v="Drone"/>
    <n v="6"/>
    <s v="Tslm Edldi"/>
  </r>
  <r>
    <d v="2020-05-25T20:46:00"/>
    <s v="RA-00264"/>
    <s v="Ramazan"/>
    <s v="Şaşmaz"/>
    <x v="7"/>
    <s v="Kartuş"/>
    <n v="4"/>
    <s v="Tslm Edldi"/>
  </r>
  <r>
    <d v="2020-07-22T08:25:00"/>
    <s v="TU-00265"/>
    <s v="Tuba"/>
    <s v="Orhon"/>
    <x v="0"/>
    <s v="TV"/>
    <n v="8"/>
    <s v="Tslm Edldi"/>
  </r>
  <r>
    <d v="2020-12-22T15:06:00"/>
    <s v="Nİ-00266"/>
    <s v="Nizamettin"/>
    <s v="Karacan"/>
    <x v="2"/>
    <s v="Kartuş"/>
    <n v="10"/>
    <s v="Tslm Edldi"/>
  </r>
  <r>
    <d v="2020-09-19T13:28:00"/>
    <s v="AY-00267"/>
    <s v="Aycan"/>
    <s v="Özden Söker"/>
    <x v="5"/>
    <s v="Monitör"/>
    <n v="9"/>
    <s v="Tslm Edldi"/>
  </r>
  <r>
    <d v="2020-07-28T17:22:00"/>
    <s v="MU-00268"/>
    <s v="Mustafa"/>
    <s v="Büyükcam"/>
    <x v="5"/>
    <s v="Yazıcı"/>
    <n v="3"/>
    <s v="Tamamlandı"/>
  </r>
  <r>
    <d v="2020-06-17T20:40:00"/>
    <s v="ER-00269"/>
    <s v="Ercan"/>
    <s v="Şirzai"/>
    <x v="3"/>
    <s v="Webcam"/>
    <n v="6"/>
    <s v="Tslm Edldi"/>
  </r>
  <r>
    <d v="2020-06-06T09:45:00"/>
    <s v="VO-00270"/>
    <s v="Volkan"/>
    <s v="Akgül"/>
    <x v="5"/>
    <s v="Hard Disk"/>
    <n v="5"/>
    <s v="Tslm Edldi"/>
  </r>
  <r>
    <d v="2020-01-24T18:50:00"/>
    <s v="EM-00271"/>
    <s v="Emrah"/>
    <s v="Kemal Erdem"/>
    <x v="8"/>
    <s v="Telefon"/>
    <n v="3"/>
    <s v="Tslm Edldi"/>
  </r>
  <r>
    <d v="2020-04-11T17:13:00"/>
    <s v="DE-00272"/>
    <s v="Derya"/>
    <s v="Güvenç"/>
    <x v="6"/>
    <s v="Oyun Konsolu"/>
    <n v="10"/>
    <s v="Tamamlandı"/>
  </r>
  <r>
    <d v="2020-08-20T20:25:00"/>
    <s v="MU-00273"/>
    <s v="Mustafa"/>
    <s v="Duman"/>
    <x v="0"/>
    <s v="Webcam"/>
    <n v="5"/>
    <s v="Tamamlandı"/>
  </r>
  <r>
    <d v="2020-07-28T21:15:00"/>
    <s v="SÜ-00274"/>
    <s v="Süleyman"/>
    <s v="Şirzai"/>
    <x v="8"/>
    <s v="Telefon"/>
    <n v="6"/>
    <s v="Paketlemede"/>
  </r>
  <r>
    <d v="2020-07-14T21:07:00"/>
    <s v="DE-00275"/>
    <s v="Demet"/>
    <s v="Bolat"/>
    <x v="3"/>
    <s v="Yazıcı"/>
    <n v="9"/>
    <s v="Tslm Edldi"/>
  </r>
  <r>
    <d v="2020-01-16T16:45:00"/>
    <s v="UL-00276"/>
    <s v="Ulaş"/>
    <s v="Aslan"/>
    <x v="7"/>
    <s v="Klavye"/>
    <n v="10"/>
    <s v="Tslm Edldi"/>
  </r>
  <r>
    <d v="2020-04-26T21:12:00"/>
    <s v="GÜ-00277"/>
    <s v="Gülsen"/>
    <s v="Göksoy"/>
    <x v="4"/>
    <s v="Hard Disk"/>
    <n v="9"/>
    <s v="Tslm Edldi"/>
  </r>
  <r>
    <d v="2020-01-22T15:12:00"/>
    <s v="İB-00278"/>
    <s v="İbrahim"/>
    <s v="Tayfun Urfalı"/>
    <x v="0"/>
    <s v="Drone"/>
    <n v="8"/>
    <s v="Tslm Edldi"/>
  </r>
  <r>
    <d v="2020-05-28T15:33:00"/>
    <s v="İS-00279"/>
    <s v="İsa"/>
    <s v="Merden"/>
    <x v="4"/>
    <s v="Kamera"/>
    <n v="3"/>
    <s v="Tslm Edldi"/>
  </r>
  <r>
    <d v="2020-04-16T08:36:00"/>
    <s v="DE-00280"/>
    <s v="Derviş"/>
    <s v="Gedik Yılmaz"/>
    <x v="2"/>
    <s v="Laptop"/>
    <n v="4"/>
    <s v="Tslm Edldi"/>
  </r>
  <r>
    <d v="2020-05-20T14:24:00"/>
    <s v="MA-00281"/>
    <s v="Mahmut"/>
    <s v="Nuri Güngör"/>
    <x v="8"/>
    <s v="Laptop"/>
    <n v="3"/>
    <s v="Tslm Edldi"/>
  </r>
  <r>
    <d v="2020-05-10T13:03:00"/>
    <s v="TU-00282"/>
    <s v="Tuğra"/>
    <s v="Soydan"/>
    <x v="6"/>
    <s v="Monitör"/>
    <n v="10"/>
    <s v="Paketlemede"/>
  </r>
  <r>
    <d v="2020-10-01T09:22:00"/>
    <s v="MÜ-00283"/>
    <s v="Mücahit"/>
    <s v="Taş"/>
    <x v="2"/>
    <s v="Kartuş"/>
    <n v="10"/>
    <s v="Paketlemede"/>
  </r>
  <r>
    <d v="2020-04-12T10:24:00"/>
    <s v="FA-00284"/>
    <s v="Fatih"/>
    <s v="Nazmi Eren"/>
    <x v="6"/>
    <s v="Klavye"/>
    <n v="3"/>
    <s v="Tamamlandı"/>
  </r>
  <r>
    <d v="2020-04-23T11:59:00"/>
    <s v="ME-00285"/>
    <s v="Mehtap"/>
    <s v="Küçükgöncü"/>
    <x v="2"/>
    <s v="Laptop"/>
    <n v="5"/>
    <s v="Tamamlandı"/>
  </r>
  <r>
    <d v="2020-06-12T15:21:00"/>
    <s v="AY-00286"/>
    <s v="Ayşe"/>
    <s v="Gül Hancıoğlu"/>
    <x v="8"/>
    <s v="Yazıcı"/>
    <n v="5"/>
    <s v="Tamamlandı"/>
  </r>
  <r>
    <d v="2020-11-15T10:55:00"/>
    <s v="ÜN-00287"/>
    <s v="Ünsal"/>
    <s v="Önder Siviş"/>
    <x v="3"/>
    <s v="Mouse"/>
    <n v="7"/>
    <s v="Tslm Edldi"/>
  </r>
  <r>
    <d v="2020-06-23T18:08:00"/>
    <s v="SE-00288"/>
    <s v="Serhat"/>
    <s v="Yılmaz İnal"/>
    <x v="2"/>
    <s v="Yazıcı"/>
    <n v="7"/>
    <s v="Tslm Edldi"/>
  </r>
  <r>
    <d v="2020-07-25T15:50:00"/>
    <s v="FU-00289"/>
    <s v="Fuat"/>
    <s v="Öcalan"/>
    <x v="8"/>
    <s v="Klavye"/>
    <n v="3"/>
    <s v="Tslm Edldi"/>
  </r>
  <r>
    <d v="2020-12-06T10:48:00"/>
    <s v="MÜ-00290"/>
    <s v="Mücahit"/>
    <s v="Yılmaz"/>
    <x v="3"/>
    <s v="Mouse"/>
    <n v="10"/>
    <s v="Tslm Edldi"/>
  </r>
  <r>
    <d v="2020-06-21T08:26:00"/>
    <s v="ME-00291"/>
    <s v="Meltem"/>
    <s v="Aksel"/>
    <x v="4"/>
    <s v="Oyun Konsolu"/>
    <n v="9"/>
    <s v="Tamamlandı"/>
  </r>
  <r>
    <d v="2020-09-19T12:04:00"/>
    <s v="Cİ-00292"/>
    <s v="Cihan"/>
    <s v="Karaköse"/>
    <x v="5"/>
    <s v="Kulaklık"/>
    <n v="10"/>
    <s v="Tslm Edldi"/>
  </r>
  <r>
    <d v="2020-10-25T19:07:00"/>
    <s v="EM-00293"/>
    <s v="Emine"/>
    <s v="Hıdıroğlu"/>
    <x v="5"/>
    <s v="Kartuş"/>
    <n v="3"/>
    <s v="Tamamlandı"/>
  </r>
  <r>
    <d v="2020-01-08T20:54:00"/>
    <s v="BE-00294"/>
    <s v="Bengü"/>
    <s v="Demirhan"/>
    <x v="2"/>
    <s v="Klavye"/>
    <n v="5"/>
    <s v="Paketlemede"/>
  </r>
  <r>
    <d v="2020-10-06T19:20:00"/>
    <s v="İL-00295"/>
    <s v="İlker"/>
    <s v="Müezzinoğlu"/>
    <x v="2"/>
    <s v="Monitör"/>
    <n v="9"/>
    <s v="Paketlemede"/>
  </r>
  <r>
    <d v="2020-07-12T08:33:00"/>
    <s v="ER-00296"/>
    <s v="Ergün"/>
    <s v="Akyol"/>
    <x v="3"/>
    <s v="Laptop"/>
    <n v="9"/>
    <s v="Tamamlandı"/>
  </r>
  <r>
    <d v="2020-04-11T14:35:00"/>
    <s v="NE-00297"/>
    <s v="Nevroz"/>
    <s v="Gerdan"/>
    <x v="1"/>
    <s v="Monitör"/>
    <n v="9"/>
    <s v="Tslm Edldi"/>
  </r>
  <r>
    <d v="2020-01-21T12:51:00"/>
    <s v="AY-00298"/>
    <s v="Ayşe"/>
    <s v="Akyol"/>
    <x v="5"/>
    <s v="Kamera"/>
    <n v="10"/>
    <s v="Tslm Edldi"/>
  </r>
  <r>
    <d v="2020-10-20T14:59:00"/>
    <s v="MU-00299"/>
    <s v="Mustafa"/>
    <s v="Kürşat Kaya"/>
    <x v="1"/>
    <s v="Monitör"/>
    <n v="3"/>
    <s v="Tslm Edldi"/>
  </r>
  <r>
    <d v="2020-02-17T17:23:00"/>
    <s v="FU-00300"/>
    <s v="Funda"/>
    <s v="Bektaş"/>
    <x v="7"/>
    <s v="Laptop"/>
    <n v="4"/>
    <s v="Tslm Edldi"/>
  </r>
  <r>
    <d v="2020-07-26T12:54:00"/>
    <s v="ÜM-00301"/>
    <s v="Ümit"/>
    <s v="Özkurt"/>
    <x v="7"/>
    <s v="Oyun Konsolu"/>
    <n v="7"/>
    <s v="Tamamlandı"/>
  </r>
  <r>
    <d v="2020-09-16T09:44:00"/>
    <s v="Nİ-00302"/>
    <s v="Nihal"/>
    <s v="Kocakaya Altundal"/>
    <x v="3"/>
    <s v="Kulaklık"/>
    <n v="7"/>
    <s v="Kargoda"/>
  </r>
  <r>
    <d v="2020-07-03T09:13:00"/>
    <s v="İB-00303"/>
    <s v="İbrahim"/>
    <s v="Akdeniz"/>
    <x v="1"/>
    <s v="Telefon"/>
    <n v="7"/>
    <s v="Tslm Edldi"/>
  </r>
  <r>
    <d v="2020-06-21T08:04:00"/>
    <s v="Bİ-00304"/>
    <s v="Bilgin"/>
    <s v="Öztürk"/>
    <x v="6"/>
    <s v="Oyun Konsolu"/>
    <n v="8"/>
    <s v="Tslm Edldi"/>
  </r>
  <r>
    <d v="2020-02-16T12:08:00"/>
    <s v="FU-00305"/>
    <s v="Fuat"/>
    <s v="Şeliman"/>
    <x v="4"/>
    <s v="Klavye"/>
    <n v="7"/>
    <s v="Tslm Edldi"/>
  </r>
  <r>
    <d v="2020-04-21T08:50:00"/>
    <s v="ME-00306"/>
    <s v="Mesut"/>
    <s v="Vural"/>
    <x v="7"/>
    <s v="Yazıcı"/>
    <n v="4"/>
    <s v="Tamamlandı"/>
  </r>
  <r>
    <d v="2020-12-08T14:54:00"/>
    <s v="BU-00307"/>
    <s v="Burak"/>
    <s v="Gümüşay"/>
    <x v="0"/>
    <s v="Kamera"/>
    <n v="6"/>
    <s v="Tslm Edldi"/>
  </r>
  <r>
    <d v="2020-06-18T11:48:00"/>
    <s v="KE-00308"/>
    <s v="Kenan"/>
    <s v="Ahmet Küfeciler"/>
    <x v="4"/>
    <s v="Kulaklık"/>
    <n v="8"/>
    <s v="Paketlemede"/>
  </r>
  <r>
    <d v="2020-11-16T09:15:00"/>
    <s v="GÜ-00309"/>
    <s v="Gülbahar"/>
    <s v="Alay"/>
    <x v="0"/>
    <s v="Webcam"/>
    <n v="5"/>
    <s v="Sipariş İptali"/>
  </r>
  <r>
    <d v="2020-07-07T16:37:00"/>
    <s v="Sİ-00310"/>
    <s v="Sibel"/>
    <s v="Şanlıkan"/>
    <x v="1"/>
    <s v="Yazıcı"/>
    <n v="6"/>
    <s v="Paketlemede"/>
  </r>
  <r>
    <d v="2020-09-28T19:44:00"/>
    <s v="SE-00311"/>
    <s v="Serdar"/>
    <s v="Büküm"/>
    <x v="0"/>
    <s v="Kartuş"/>
    <n v="7"/>
    <s v="Tamamlandı"/>
  </r>
  <r>
    <d v="2020-02-22T21:38:00"/>
    <s v="GÜ-00312"/>
    <s v="Gülay"/>
    <s v="Çelik"/>
    <x v="5"/>
    <s v="TV"/>
    <n v="5"/>
    <s v="Tamamlandı"/>
  </r>
  <r>
    <d v="2020-04-15T21:45:00"/>
    <s v="AH-00313"/>
    <s v="Ahmet"/>
    <s v="Küçükgöncü"/>
    <x v="3"/>
    <s v="Yazıcı"/>
    <n v="6"/>
    <s v="Paketlemede"/>
  </r>
  <r>
    <d v="2020-05-09T11:27:00"/>
    <s v="HA-00314"/>
    <s v="Hande"/>
    <s v="Öztürk"/>
    <x v="3"/>
    <s v="Yazıcı"/>
    <n v="6"/>
    <s v="Tslm Edldi"/>
  </r>
  <r>
    <d v="2020-03-17T12:42:00"/>
    <s v="JA-00315"/>
    <s v="Jale"/>
    <s v="Karakuş"/>
    <x v="3"/>
    <s v="Oyun Konsolu"/>
    <n v="3"/>
    <s v="Paketlemede"/>
  </r>
  <r>
    <d v="2020-09-20T17:21:00"/>
    <s v="SE-00316"/>
    <s v="Serkan"/>
    <s v="Ayhan"/>
    <x v="5"/>
    <s v="Oyun Konsolu"/>
    <n v="3"/>
    <s v="Tslm Edldi"/>
  </r>
  <r>
    <d v="2020-02-17T11:06:00"/>
    <s v="MU-00317"/>
    <s v="Mustafa"/>
    <s v="Nafiz Eren"/>
    <x v="2"/>
    <s v="Webcam"/>
    <n v="9"/>
    <s v="Paketlemede"/>
  </r>
  <r>
    <d v="2020-05-13T10:50:00"/>
    <s v="ÇE-00318"/>
    <s v="Çetin"/>
    <s v="Dilek"/>
    <x v="1"/>
    <s v="TV"/>
    <n v="5"/>
    <s v="Tslm Edldi"/>
  </r>
  <r>
    <d v="2020-02-27T14:14:00"/>
    <s v="Fİ-00319"/>
    <s v="Filiz"/>
    <s v="Özdemir"/>
    <x v="6"/>
    <s v="Laptop"/>
    <n v="4"/>
    <s v="Tslm Edldi"/>
  </r>
  <r>
    <d v="2020-05-23T20:18:00"/>
    <s v="BE-00320"/>
    <s v="Berfin"/>
    <s v="Can Sürüm"/>
    <x v="4"/>
    <s v="Kamera"/>
    <n v="10"/>
    <s v="Tslm Edldi"/>
  </r>
  <r>
    <d v="2020-07-12T10:40:00"/>
    <s v="GÖ-00321"/>
    <s v="Gökhan"/>
    <s v="Demirel"/>
    <x v="4"/>
    <s v="Kulaklık"/>
    <n v="5"/>
    <s v="Paketlemede"/>
  </r>
  <r>
    <d v="2020-01-18T22:20:00"/>
    <s v="EM-00322"/>
    <s v="Emre"/>
    <s v="Kırış"/>
    <x v="5"/>
    <s v="Drone"/>
    <n v="9"/>
    <s v="Tamamlandı"/>
  </r>
  <r>
    <d v="2020-11-15T21:29:00"/>
    <s v="İB-00323"/>
    <s v="İbrahim"/>
    <s v="Barış Yüzbaşıoğlu"/>
    <x v="3"/>
    <s v="Telefon"/>
    <n v="8"/>
    <s v="Tslm Edldi"/>
  </r>
  <r>
    <d v="2020-03-24T10:50:00"/>
    <s v="MU-00324"/>
    <s v="Murat"/>
    <s v="Vural"/>
    <x v="5"/>
    <s v="Monitör"/>
    <n v="3"/>
    <s v="Paketlemede"/>
  </r>
  <r>
    <d v="2020-09-25T21:19:00"/>
    <s v="FE-00325"/>
    <s v="Feyza"/>
    <s v="Yücel"/>
    <x v="4"/>
    <s v="Laptop"/>
    <n v="5"/>
    <s v="Tamamlandı"/>
  </r>
  <r>
    <d v="2020-02-12T17:09:00"/>
    <s v="FA-00326"/>
    <s v="Fatma"/>
    <s v="Ece Biçer"/>
    <x v="5"/>
    <s v="Laptop"/>
    <n v="6"/>
    <s v="Tamamlandı"/>
  </r>
  <r>
    <d v="2020-07-15T08:09:00"/>
    <s v="HA-00327"/>
    <s v="Hande"/>
    <s v="Emre"/>
    <x v="0"/>
    <s v="Monitör"/>
    <n v="9"/>
    <s v="Paketlemede"/>
  </r>
  <r>
    <d v="2020-04-03T15:32:00"/>
    <s v="IR-00328"/>
    <s v="Irazca"/>
    <s v="Tanrıverdi Yılmaz"/>
    <x v="8"/>
    <s v="Yazıcı"/>
    <n v="4"/>
    <s v="Tamamlandı"/>
  </r>
  <r>
    <d v="2020-02-20T22:10:00"/>
    <s v="ME-00329"/>
    <s v="Mehmet"/>
    <s v="Gökçe Gözcü"/>
    <x v="8"/>
    <s v="Hard Disk"/>
    <n v="7"/>
    <s v="Tslm Edldi"/>
  </r>
  <r>
    <d v="2020-07-28T08:05:00"/>
    <s v="OS-00330"/>
    <s v="Osman"/>
    <s v="Ayas"/>
    <x v="0"/>
    <s v="Klavye"/>
    <n v="7"/>
    <s v="Tamamlandı"/>
  </r>
  <r>
    <d v="2020-05-13T11:03:00"/>
    <s v="SE-00331"/>
    <s v="Serkan"/>
    <s v="Yazak"/>
    <x v="1"/>
    <s v="TV"/>
    <n v="9"/>
    <s v="Tamamlandı"/>
  </r>
  <r>
    <d v="2020-11-14T22:23:00"/>
    <s v="ME-00332"/>
    <s v="Mete"/>
    <s v="Şen Tanrıkulu"/>
    <x v="0"/>
    <s v="Mouse"/>
    <n v="5"/>
    <s v="Paketlemede"/>
  </r>
  <r>
    <d v="2020-09-06T15:42:00"/>
    <s v="İS-00333"/>
    <s v="İsmail"/>
    <s v="Yıldırım"/>
    <x v="1"/>
    <s v="TV"/>
    <n v="5"/>
    <s v="Tslm Edldi"/>
  </r>
  <r>
    <d v="2020-02-12T16:42:00"/>
    <s v="ON-00334"/>
    <s v="Onur"/>
    <s v="Kadir Ergülü Eşmen"/>
    <x v="4"/>
    <s v="TV"/>
    <n v="6"/>
    <s v="Tamamlandı"/>
  </r>
  <r>
    <d v="2020-09-08T20:09:00"/>
    <s v="AD-00335"/>
    <s v="Adem"/>
    <s v="Babuş"/>
    <x v="5"/>
    <s v="Yazıcı"/>
    <n v="5"/>
    <s v="Paketlemede"/>
  </r>
  <r>
    <d v="2020-06-02T09:35:00"/>
    <s v="ZE-00336"/>
    <s v="Zeynep"/>
    <s v="Gölemez"/>
    <x v="6"/>
    <s v="Monitör"/>
    <n v="7"/>
    <s v="Tslm Edldi"/>
  </r>
  <r>
    <d v="2020-07-26T20:08:00"/>
    <s v="GO-00337"/>
    <s v="Gonca"/>
    <s v="Balal"/>
    <x v="3"/>
    <s v="TV"/>
    <n v="3"/>
    <s v="Tamamlandı"/>
  </r>
  <r>
    <d v="2020-05-25T21:03:00"/>
    <s v="ÖZ-00338"/>
    <s v="Özlem"/>
    <s v="Adanır"/>
    <x v="4"/>
    <s v="Yazıcı"/>
    <n v="5"/>
    <s v="Tslm Edldi"/>
  </r>
  <r>
    <d v="2020-04-20T15:24:00"/>
    <s v="AH-00339"/>
    <s v="Ahmet"/>
    <s v="Emre Bereket"/>
    <x v="4"/>
    <s v="Webcam"/>
    <n v="5"/>
    <s v="Tamamlandı"/>
  </r>
  <r>
    <d v="2020-08-15T19:44:00"/>
    <s v="HÜ-00340"/>
    <s v="Hüseyin"/>
    <s v="Cahit Sezgin"/>
    <x v="5"/>
    <s v="Drone"/>
    <n v="5"/>
    <s v="Paketlemede"/>
  </r>
  <r>
    <d v="2020-11-24T22:19:00"/>
    <s v="BE-00341"/>
    <s v="Berfin"/>
    <s v="Küfeciler"/>
    <x v="8"/>
    <s v="Laptop"/>
    <n v="5"/>
    <s v="Tslm Edldi"/>
  </r>
  <r>
    <d v="2020-06-27T08:13:00"/>
    <s v="SE-00342"/>
    <s v="Semih"/>
    <s v="Gerilmez"/>
    <x v="4"/>
    <s v="Kartuş"/>
    <n v="10"/>
    <s v="Tamamlandı"/>
  </r>
  <r>
    <d v="2020-03-13T19:28:00"/>
    <s v="EM-00343"/>
    <s v="Emine"/>
    <s v="Ardıç"/>
    <x v="4"/>
    <s v="Kulaklık"/>
    <n v="7"/>
    <s v="Tamamlandı"/>
  </r>
  <r>
    <d v="2020-12-10T14:51:00"/>
    <s v="MU-00344"/>
    <s v="Mustafa"/>
    <s v="Gürhan Yurt"/>
    <x v="7"/>
    <s v="Kulaklık"/>
    <n v="4"/>
    <s v="Tamamlandı"/>
  </r>
  <r>
    <d v="2020-06-18T22:30:00"/>
    <s v="MU-00345"/>
    <s v="Mustafa"/>
    <s v="Şatır Ertem"/>
    <x v="0"/>
    <s v="Oyun Konsolu"/>
    <n v="3"/>
    <s v="Tamamlandı"/>
  </r>
  <r>
    <d v="2020-12-27T12:07:00"/>
    <s v="MU-00346"/>
    <s v="Muhammet"/>
    <s v="Murat Özkan"/>
    <x v="0"/>
    <s v="Monitör"/>
    <n v="5"/>
    <s v="Tslm Edldi"/>
  </r>
  <r>
    <d v="2020-12-21T14:46:00"/>
    <s v="AR-00347"/>
    <s v="Arzu"/>
    <s v="Yağcı"/>
    <x v="4"/>
    <s v="TV"/>
    <n v="10"/>
    <s v="Tslm Edldi"/>
  </r>
  <r>
    <d v="2020-10-16T16:50:00"/>
    <s v="GÜ-00348"/>
    <s v="Gülname"/>
    <s v="Özdemir"/>
    <x v="6"/>
    <s v="Kulaklık"/>
    <n v="3"/>
    <s v="Tamamlandı"/>
  </r>
  <r>
    <d v="2020-04-03T15:49:00"/>
    <s v="MÜ-00349"/>
    <s v="Mübeccel"/>
    <s v="Akbaş Öncel"/>
    <x v="0"/>
    <s v="Klavye"/>
    <n v="5"/>
    <s v="Tslm Edldi"/>
  </r>
  <r>
    <d v="2020-09-05T19:40:00"/>
    <s v="RE-00350"/>
    <s v="Reşat"/>
    <s v="Kaya"/>
    <x v="6"/>
    <s v="Mouse"/>
    <n v="7"/>
    <s v="Tamamlandı"/>
  </r>
  <r>
    <d v="2020-07-21T08:46:00"/>
    <s v="SA-00351"/>
    <s v="Saliha"/>
    <s v="Akkaya"/>
    <x v="2"/>
    <s v="Mouse"/>
    <n v="6"/>
    <s v="Sipariş İptali"/>
  </r>
  <r>
    <d v="2020-10-15T15:45:00"/>
    <s v="MÜ-00352"/>
    <s v="Mümüne"/>
    <s v="Saraçoğlu Çekiç"/>
    <x v="3"/>
    <s v="Yazıcı"/>
    <n v="8"/>
    <s v="Tslm Edldi"/>
  </r>
  <r>
    <d v="2020-10-25T21:49:00"/>
    <s v="KA-00353"/>
    <s v="Kalender"/>
    <s v="Yarar"/>
    <x v="7"/>
    <s v="Monitör"/>
    <n v="10"/>
    <s v="Paketlemede"/>
  </r>
  <r>
    <d v="2020-11-18T13:45:00"/>
    <s v="UT-00354"/>
    <s v="Utku"/>
    <s v="Şeliman"/>
    <x v="2"/>
    <s v="Drone"/>
    <n v="4"/>
    <s v="Tslm Edldi"/>
  </r>
  <r>
    <d v="2020-09-02T12:53:00"/>
    <s v="SE-00355"/>
    <s v="Seda"/>
    <s v="Demirtaş"/>
    <x v="4"/>
    <s v="Laptop"/>
    <n v="3"/>
    <s v="Tslm Edldi"/>
  </r>
  <r>
    <d v="2020-01-22T09:26:00"/>
    <s v="Bİ-00356"/>
    <s v="Bilge"/>
    <s v="Akın"/>
    <x v="6"/>
    <s v="Hard Disk"/>
    <n v="8"/>
    <s v="Tslm Edldi"/>
  </r>
  <r>
    <d v="2020-09-22T08:57:00"/>
    <s v="TU-00357"/>
    <s v="Tuğba"/>
    <s v="Yegen Yılmaz"/>
    <x v="1"/>
    <s v="Oyun Konsolu"/>
    <n v="6"/>
    <s v="Paketlemede"/>
  </r>
  <r>
    <d v="2020-10-14T15:56:00"/>
    <s v="ER-00358"/>
    <s v="Eray"/>
    <s v="Cılız Basheer"/>
    <x v="0"/>
    <s v="Kartuş"/>
    <n v="9"/>
    <s v="Tslm Edldi"/>
  </r>
  <r>
    <d v="2020-01-19T08:14:00"/>
    <s v="AL-00359"/>
    <s v="Ali"/>
    <s v="Çetin"/>
    <x v="1"/>
    <s v="Laptop"/>
    <n v="10"/>
    <s v="Tslm Edldi"/>
  </r>
  <r>
    <d v="2020-08-19T13:49:00"/>
    <s v="AY-00360"/>
    <s v="Aykut"/>
    <s v="Baloğlu"/>
    <x v="1"/>
    <s v="Telefon"/>
    <n v="9"/>
    <s v="Tslm Edldi"/>
  </r>
  <r>
    <d v="2020-11-05T12:11:00"/>
    <s v="KÜ-00361"/>
    <s v="Kürşat"/>
    <s v="Kireççi"/>
    <x v="5"/>
    <s v="Kamera"/>
    <n v="9"/>
    <s v="Paketlemede"/>
  </r>
  <r>
    <d v="2020-12-07T17:46:00"/>
    <s v="MÜ-00362"/>
    <s v="Mücahit"/>
    <s v="Destegül"/>
    <x v="0"/>
    <s v="TV"/>
    <n v="3"/>
    <s v="Tslm Edldi"/>
  </r>
  <r>
    <d v="2020-11-15T22:48:00"/>
    <s v="ME-00363"/>
    <s v="Mehmet"/>
    <s v="Akgül"/>
    <x v="2"/>
    <s v="TV"/>
    <n v="9"/>
    <s v="Paketlemede"/>
  </r>
  <r>
    <d v="2020-11-13T19:27:00"/>
    <s v="GÖ-00364"/>
    <s v="Gökay"/>
    <s v="Genç"/>
    <x v="7"/>
    <s v="Kartuş"/>
    <n v="5"/>
    <s v="Tslm Edldi"/>
  </r>
  <r>
    <d v="2020-05-09T12:20:00"/>
    <s v="ZE-00365"/>
    <s v="Zehra"/>
    <s v="Uygur"/>
    <x v="2"/>
    <s v="Klavye"/>
    <n v="3"/>
    <s v="Paketlemede"/>
  </r>
  <r>
    <d v="2020-08-16T17:45:00"/>
    <s v="TU-00366"/>
    <s v="Tuğsem"/>
    <s v="İçbay"/>
    <x v="5"/>
    <s v="TV"/>
    <n v="3"/>
    <s v="Tslm Edldi"/>
  </r>
  <r>
    <d v="2020-07-27T15:50:00"/>
    <s v="İL-00367"/>
    <s v="İlker"/>
    <s v="Kaya"/>
    <x v="4"/>
    <s v="Oyun Konsolu"/>
    <n v="7"/>
    <s v="Tslm Edldi"/>
  </r>
  <r>
    <d v="2020-04-11T11:09:00"/>
    <s v="EV-00368"/>
    <s v="Evrim"/>
    <s v="Özdemir"/>
    <x v="5"/>
    <s v="Kartuş"/>
    <n v="4"/>
    <s v="Tslm Edldi"/>
  </r>
  <r>
    <d v="2020-10-08T18:33:00"/>
    <s v="FA-00369"/>
    <s v="Faruk"/>
    <s v="Köroğlu"/>
    <x v="5"/>
    <s v="Kulaklık"/>
    <n v="7"/>
    <s v="Tslm Edldi"/>
  </r>
  <r>
    <d v="2020-06-15T09:07:00"/>
    <s v="TÜ-00370"/>
    <s v="Tümay"/>
    <s v="Aykan"/>
    <x v="2"/>
    <s v="Webcam"/>
    <n v="9"/>
    <s v="Tslm Edldi"/>
  </r>
  <r>
    <d v="2020-01-13T20:08:00"/>
    <s v="ES-00371"/>
    <s v="Esra"/>
    <s v="Nur Akçalı"/>
    <x v="0"/>
    <s v="Monitör"/>
    <n v="10"/>
    <s v="Tslm Edldi"/>
  </r>
  <r>
    <d v="2020-03-23T16:34:00"/>
    <s v="SI-00372"/>
    <s v="Sıdıka"/>
    <s v="Altınboğa"/>
    <x v="5"/>
    <s v="Yazıcı"/>
    <n v="7"/>
    <s v="Tslm Edldi"/>
  </r>
  <r>
    <d v="2020-10-22T11:25:00"/>
    <s v="ME-00373"/>
    <s v="Mehmet"/>
    <s v="Celtemen"/>
    <x v="7"/>
    <s v="Yazıcı"/>
    <n v="6"/>
    <s v="Paketlemede"/>
  </r>
  <r>
    <d v="2020-09-20T14:57:00"/>
    <s v="TA-00374"/>
    <s v="Tarkan"/>
    <s v="Öven Ustaalioğlu"/>
    <x v="0"/>
    <s v="Mouse"/>
    <n v="8"/>
    <s v="Paketlemede"/>
  </r>
  <r>
    <d v="2020-09-12T10:33:00"/>
    <s v="NU-00375"/>
    <s v="Nurdan"/>
    <s v="Arslan Kaşdoğan"/>
    <x v="1"/>
    <s v="Telefon"/>
    <n v="10"/>
    <s v="Tamamlandı"/>
  </r>
  <r>
    <d v="2020-12-11T22:48:00"/>
    <s v="HA-00376"/>
    <s v="Hale"/>
    <s v="Yeniçeri"/>
    <x v="7"/>
    <s v="Drone"/>
    <n v="4"/>
    <s v="Tslm Edldi"/>
  </r>
  <r>
    <d v="2020-01-10T10:16:00"/>
    <s v="KE-00377"/>
    <s v="Kerim"/>
    <s v="Atay"/>
    <x v="4"/>
    <s v="Oyun Konsolu"/>
    <n v="6"/>
    <s v="Tamamlandı"/>
  </r>
  <r>
    <d v="2020-11-25T11:30:00"/>
    <s v="GÖ-00378"/>
    <s v="Gökay"/>
    <s v="Gürel"/>
    <x v="7"/>
    <s v="Mouse"/>
    <n v="8"/>
    <s v="Tslm Edldi"/>
  </r>
  <r>
    <d v="2020-08-02T12:04:00"/>
    <s v="SE-00379"/>
    <s v="Seyhan"/>
    <s v="Mumcuoğlu"/>
    <x v="6"/>
    <s v="Hard Disk"/>
    <n v="8"/>
    <s v="Paketlemede"/>
  </r>
  <r>
    <d v="2020-06-07T18:48:00"/>
    <s v="Dİ-00380"/>
    <s v="Diana"/>
    <s v="Hıdıroğlu"/>
    <x v="4"/>
    <s v="Klavye"/>
    <n v="9"/>
    <s v="Paketlemede"/>
  </r>
  <r>
    <d v="2020-04-28T16:12:00"/>
    <s v="Fİ-00381"/>
    <s v="Filiz"/>
    <s v="Güler"/>
    <x v="2"/>
    <s v="Klavye"/>
    <n v="7"/>
    <s v="Tslm Edldi"/>
  </r>
  <r>
    <d v="2020-10-04T10:00:00"/>
    <s v="YÜ-00382"/>
    <s v="Yücel"/>
    <s v="Öztürk"/>
    <x v="8"/>
    <s v="Telefon"/>
    <n v="9"/>
    <s v="Tslm Edldi"/>
  </r>
  <r>
    <d v="2020-11-03T21:22:00"/>
    <s v="EV-00383"/>
    <s v="Evrim"/>
    <s v="Göncü"/>
    <x v="6"/>
    <s v="Kamera"/>
    <n v="5"/>
    <s v="Paketlemede"/>
  </r>
  <r>
    <d v="2020-04-22T18:26:00"/>
    <s v="AL-00384"/>
    <s v="Alevtina"/>
    <s v="Akbulut"/>
    <x v="1"/>
    <s v="Kulaklık"/>
    <n v="7"/>
    <s v="Paketlemede"/>
  </r>
  <r>
    <d v="2020-11-14T19:54:00"/>
    <s v="FA-00385"/>
    <s v="Faruk"/>
    <s v="Büyüktaş"/>
    <x v="5"/>
    <s v="Webcam"/>
    <n v="6"/>
    <s v="Tamamlandı"/>
  </r>
  <r>
    <d v="2020-10-12T18:35:00"/>
    <s v="ER-00386"/>
    <s v="Ergün"/>
    <s v="Gül"/>
    <x v="2"/>
    <s v="Kulaklık"/>
    <n v="3"/>
    <s v="Paketlemede"/>
  </r>
  <r>
    <d v="2020-11-16T09:59:00"/>
    <s v="ÖM-00387"/>
    <s v="Ömer"/>
    <s v="Faruk Akşahin"/>
    <x v="6"/>
    <s v="Monitör"/>
    <n v="6"/>
    <s v="Tamamlandı"/>
  </r>
  <r>
    <d v="2020-11-01T19:44:00"/>
    <s v="ÖZ-00388"/>
    <s v="Özcan"/>
    <s v="Kutluyurdu"/>
    <x v="2"/>
    <s v="TV"/>
    <n v="7"/>
    <s v="Tslm Edldi"/>
  </r>
  <r>
    <d v="2020-09-25T13:32:00"/>
    <s v="AH-00389"/>
    <s v="Ahmet"/>
    <s v="Şen Tanrıkulu"/>
    <x v="8"/>
    <s v="Webcam"/>
    <n v="7"/>
    <s v="Paketlemede"/>
  </r>
  <r>
    <d v="2020-01-18T15:50:00"/>
    <s v="SE-00390"/>
    <s v="Serhan"/>
    <s v="Eryavuz"/>
    <x v="7"/>
    <s v="Yazıcı"/>
    <n v="10"/>
    <s v="Tamamlandı"/>
  </r>
  <r>
    <d v="2020-07-26T17:19:00"/>
    <s v="İB-00391"/>
    <s v="İbrahim"/>
    <s v="Mesci Haftacı"/>
    <x v="4"/>
    <s v="Yazıcı"/>
    <n v="8"/>
    <s v="Tamamlandı"/>
  </r>
  <r>
    <d v="2020-10-07T20:08:00"/>
    <s v="GÜ-00392"/>
    <s v="Gülhanım"/>
    <s v="Yurt"/>
    <x v="8"/>
    <s v="Yazıcı"/>
    <n v="6"/>
    <s v="Tslm Edldi"/>
  </r>
  <r>
    <d v="2020-12-23T13:24:00"/>
    <s v="İL-00393"/>
    <s v="İlknur"/>
    <s v="Yanni"/>
    <x v="5"/>
    <s v="Laptop"/>
    <n v="10"/>
    <s v="Tslm Edldi"/>
  </r>
  <r>
    <d v="2020-03-27T11:58:00"/>
    <s v="RE-00394"/>
    <s v="Rezan"/>
    <s v="Cengiz"/>
    <x v="0"/>
    <s v="Laptop"/>
    <n v="9"/>
    <s v="Paketlemede"/>
  </r>
  <r>
    <d v="2020-01-20T14:48:00"/>
    <s v="CE-00395"/>
    <s v="Cem"/>
    <s v="Yaşar Ercan"/>
    <x v="1"/>
    <s v="Kartuş"/>
    <n v="5"/>
    <s v="Tslm Edldi"/>
  </r>
  <r>
    <d v="2020-10-04T09:03:00"/>
    <s v="MU-00396"/>
    <s v="Mustafa"/>
    <s v="Atlanoğlu"/>
    <x v="7"/>
    <s v="Drone"/>
    <n v="4"/>
    <s v="Tslm Edldi"/>
  </r>
  <r>
    <d v="2020-11-13T17:28:00"/>
    <s v="AH-00397"/>
    <s v="Ahmet"/>
    <s v="Dökmeci"/>
    <x v="3"/>
    <s v="Klavye"/>
    <n v="9"/>
    <s v="Paketlemede"/>
  </r>
  <r>
    <d v="2020-05-23T11:08:00"/>
    <s v="YA-00398"/>
    <s v="Yasemin"/>
    <s v="Sağlam"/>
    <x v="5"/>
    <s v="Hard Disk"/>
    <n v="6"/>
    <s v="Paketlemede"/>
  </r>
  <r>
    <d v="2020-03-27T13:19:00"/>
    <s v="ER-00399"/>
    <s v="Erdem"/>
    <s v="Durç Öztürk"/>
    <x v="2"/>
    <s v="Kulaklık"/>
    <n v="7"/>
    <s v="Tslm Edldi"/>
  </r>
  <r>
    <d v="2020-02-02T16:01:00"/>
    <s v="FA-00400"/>
    <s v="Fatih"/>
    <s v="Bozkurt"/>
    <x v="4"/>
    <s v="Telefon"/>
    <n v="4"/>
    <s v="Tslm Edldi"/>
  </r>
  <r>
    <d v="2020-02-07T14:39:00"/>
    <s v="AT-00401"/>
    <s v="Atilla"/>
    <s v="Demir"/>
    <x v="0"/>
    <s v="Kamera"/>
    <n v="3"/>
    <s v="Tamamlandı"/>
  </r>
  <r>
    <d v="2020-02-12T16:32:00"/>
    <s v="ME-00402"/>
    <s v="Mehmet"/>
    <s v="Asena"/>
    <x v="8"/>
    <s v="Oyun Konsolu"/>
    <n v="8"/>
    <s v="Tslm Edldi"/>
  </r>
  <r>
    <d v="2020-01-17T22:48:00"/>
    <s v="SE-00403"/>
    <s v="Semra"/>
    <s v="Pekgöz"/>
    <x v="3"/>
    <s v="Monitör"/>
    <n v="5"/>
    <s v="Tamamlandı"/>
  </r>
  <r>
    <d v="2020-06-10T12:46:00"/>
    <s v="SE-00404"/>
    <s v="Sedat"/>
    <s v="Değirmenci"/>
    <x v="4"/>
    <s v="Kartuş"/>
    <n v="9"/>
    <s v="Paketlemede"/>
  </r>
  <r>
    <d v="2020-05-01T09:22:00"/>
    <s v="SE-00405"/>
    <s v="Sezgi"/>
    <s v="Suluova"/>
    <x v="4"/>
    <s v="Drone"/>
    <n v="4"/>
    <s v="Kargoda"/>
  </r>
  <r>
    <d v="2020-10-08T13:14:00"/>
    <s v="ME-00406"/>
    <s v="Mehmet"/>
    <s v="Gürdal"/>
    <x v="3"/>
    <s v="Hard Disk"/>
    <n v="6"/>
    <s v="Tslm Edldi"/>
  </r>
  <r>
    <d v="2020-07-23T19:03:00"/>
    <s v="SE-00407"/>
    <s v="Serhat"/>
    <s v="Çipe"/>
    <x v="1"/>
    <s v="Telefon"/>
    <n v="7"/>
    <s v="Tslm Edldi"/>
  </r>
  <r>
    <d v="2020-11-13T16:02:00"/>
    <s v="ZA-00408"/>
    <s v="Zafer"/>
    <s v="Mumcuoğlu"/>
    <x v="3"/>
    <s v="TV"/>
    <n v="5"/>
    <s v="Tslm Edldi"/>
  </r>
  <r>
    <d v="2020-11-10T11:31:00"/>
    <s v="MU-00409"/>
    <s v="Muhammet"/>
    <s v="Tayyip Özekli Mısırlıoğlu"/>
    <x v="6"/>
    <s v="Monitör"/>
    <n v="3"/>
    <s v="Tslm Edldi"/>
  </r>
  <r>
    <d v="2020-07-10T18:53:00"/>
    <s v="ME-00410"/>
    <s v="Mehmet"/>
    <s v="Köseoğlu"/>
    <x v="2"/>
    <s v="Mouse"/>
    <n v="6"/>
    <s v="Tslm Edldi"/>
  </r>
  <r>
    <d v="2020-02-22T13:49:00"/>
    <s v="MU-00411"/>
    <s v="Mustafa"/>
    <s v="Demirtaş"/>
    <x v="0"/>
    <s v="Kamera"/>
    <n v="9"/>
    <s v="Paketlemede"/>
  </r>
  <r>
    <d v="2020-02-21T13:07:00"/>
    <s v="ME-00412"/>
    <s v="Mediha"/>
    <s v="Al"/>
    <x v="5"/>
    <s v="Laptop"/>
    <n v="3"/>
    <s v="Tslm Edldi"/>
  </r>
  <r>
    <d v="2020-01-26T18:30:00"/>
    <s v="FA-00413"/>
    <s v="Fadıl"/>
    <s v="Yıldız Altun"/>
    <x v="8"/>
    <s v="Kamera"/>
    <n v="6"/>
    <s v="Tamamlandı"/>
  </r>
  <r>
    <d v="2020-11-24T22:08:00"/>
    <s v="ÇE-00414"/>
    <s v="Çetin"/>
    <s v="Serin"/>
    <x v="4"/>
    <s v="Kamera"/>
    <n v="3"/>
    <s v="Tslm Edldi"/>
  </r>
  <r>
    <d v="2020-09-11T16:20:00"/>
    <s v="AY-00415"/>
    <s v="Aysel"/>
    <s v="Hıdıroğlu"/>
    <x v="5"/>
    <s v="Monitör"/>
    <n v="7"/>
    <s v="Paketlemede"/>
  </r>
  <r>
    <d v="2020-02-23T16:55:00"/>
    <s v="NE-00416"/>
    <s v="Neşe"/>
    <s v="Gürdal"/>
    <x v="3"/>
    <s v="Kulaklık"/>
    <n v="9"/>
    <s v="Tslm Edldi"/>
  </r>
  <r>
    <d v="2020-08-09T11:49:00"/>
    <s v="CA-00417"/>
    <s v="Cansu"/>
    <s v="Selcan Akpınar"/>
    <x v="0"/>
    <s v="Klavye"/>
    <n v="5"/>
    <s v="Paketlemede"/>
  </r>
  <r>
    <d v="2020-11-15T22:00:00"/>
    <s v="DU-00418"/>
    <s v="Duçem"/>
    <s v="Karpuz"/>
    <x v="4"/>
    <s v="Oyun Konsolu"/>
    <n v="7"/>
    <s v="Tslm Edldi"/>
  </r>
  <r>
    <d v="2020-05-07T22:13:00"/>
    <s v="YE-00419"/>
    <s v="Yener"/>
    <s v="Karakuş"/>
    <x v="8"/>
    <s v="Oyun Konsolu"/>
    <n v="7"/>
    <s v="Tslm Edldi"/>
  </r>
  <r>
    <d v="2020-08-03T21:25:00"/>
    <s v="HA-00420"/>
    <s v="Hasan"/>
    <s v="Sami Yumurtaş"/>
    <x v="6"/>
    <s v="TV"/>
    <n v="5"/>
    <s v="Tamamlandı"/>
  </r>
  <r>
    <d v="2020-12-08T17:35:00"/>
    <s v="ES-00421"/>
    <s v="Esin"/>
    <s v="Seren Kartal"/>
    <x v="7"/>
    <s v="Hard Disk"/>
    <n v="9"/>
    <s v="Tslm Edldi"/>
  </r>
  <r>
    <d v="2020-11-27T13:59:00"/>
    <s v="NU-00422"/>
    <s v="Nuh"/>
    <s v="Bakan"/>
    <x v="2"/>
    <s v="Monitör"/>
    <n v="10"/>
    <s v="Tslm Edldi"/>
  </r>
  <r>
    <d v="2020-06-22T08:19:00"/>
    <s v="PI-00423"/>
    <s v="Pınar"/>
    <s v="Genç"/>
    <x v="5"/>
    <s v="Oyun Konsolu"/>
    <n v="6"/>
    <s v="Tslm Edldi"/>
  </r>
  <r>
    <d v="2020-12-10T16:47:00"/>
    <s v="GA-00424"/>
    <s v="Gamze"/>
    <s v="Çağıl"/>
    <x v="5"/>
    <s v="TV"/>
    <n v="7"/>
    <s v="Tslm Edldi"/>
  </r>
  <r>
    <d v="2020-07-11T21:01:00"/>
    <s v="MU-00425"/>
    <s v="Murat"/>
    <s v="Gazeteci Tekin"/>
    <x v="5"/>
    <s v="Oyun Konsolu"/>
    <n v="10"/>
    <s v="Tslm Edldi"/>
  </r>
  <r>
    <d v="2020-10-11T22:06:00"/>
    <s v="AD-00426"/>
    <s v="Adem"/>
    <s v="Akyol"/>
    <x v="2"/>
    <s v="Kamera"/>
    <n v="8"/>
    <s v="Tslm Edldi"/>
  </r>
  <r>
    <d v="2020-05-05T09:01:00"/>
    <s v="ES-00427"/>
    <s v="Esin"/>
    <s v="Seren Saral"/>
    <x v="6"/>
    <s v="Monitör"/>
    <n v="8"/>
    <s v="Tamamlandı"/>
  </r>
  <r>
    <d v="2020-06-25T11:48:00"/>
    <s v="ÖZ-00428"/>
    <s v="Özlem"/>
    <s v="Öztürk"/>
    <x v="7"/>
    <s v="Mouse"/>
    <n v="4"/>
    <s v="Tslm Edldi"/>
  </r>
  <r>
    <d v="2020-01-10T16:16:00"/>
    <s v="Nİ-00429"/>
    <s v="Nilüfer"/>
    <s v="Soydan"/>
    <x v="8"/>
    <s v="TV"/>
    <n v="6"/>
    <s v="Tamamlandı"/>
  </r>
  <r>
    <d v="2020-03-24T20:09:00"/>
    <s v="ER-00430"/>
    <s v="Eray"/>
    <s v="Ergöz"/>
    <x v="8"/>
    <s v="Oyun Konsolu"/>
    <n v="5"/>
    <s v="Tamamlandı"/>
  </r>
  <r>
    <d v="2020-02-01T22:21:00"/>
    <s v="MU-00431"/>
    <s v="Mustafa"/>
    <s v="Kürşat Göksel"/>
    <x v="6"/>
    <s v="TV"/>
    <n v="9"/>
    <s v="Tslm Edldi"/>
  </r>
  <r>
    <d v="2020-02-26T08:20:00"/>
    <s v="GÜ-00432"/>
    <s v="Gülay"/>
    <s v="Alkurt Kayıkçı"/>
    <x v="6"/>
    <s v="TV"/>
    <n v="8"/>
    <s v="Tslm Edldi"/>
  </r>
  <r>
    <d v="2020-10-27T16:11:00"/>
    <s v="RA-00433"/>
    <s v="Raşan"/>
    <s v="Su Kurt"/>
    <x v="8"/>
    <s v="Drone"/>
    <n v="9"/>
    <s v="Paketlemede"/>
  </r>
  <r>
    <d v="2020-10-04T10:52:00"/>
    <s v="CE-00434"/>
    <s v="Cem"/>
    <s v="Büküm"/>
    <x v="3"/>
    <s v="Monitör"/>
    <n v="4"/>
    <s v="Tslm Edldi"/>
  </r>
  <r>
    <d v="2020-02-26T19:59:00"/>
    <s v="ME-00435"/>
    <s v="Metin"/>
    <s v="Pişirgen"/>
    <x v="6"/>
    <s v="Mouse"/>
    <n v="7"/>
    <s v="Tslm Edldi"/>
  </r>
  <r>
    <d v="2020-03-02T10:49:00"/>
    <s v="AZ-00436"/>
    <s v="Aziz"/>
    <s v="Urfalı"/>
    <x v="3"/>
    <s v="Kartuş"/>
    <n v="6"/>
    <s v="Tamamlandı"/>
  </r>
  <r>
    <d v="2020-01-19T08:12:00"/>
    <s v="Dİ-00437"/>
    <s v="Didem"/>
    <s v="Canbaz"/>
    <x v="4"/>
    <s v="TV"/>
    <n v="8"/>
    <s v="Paketlemede"/>
  </r>
  <r>
    <d v="2020-04-09T21:46:00"/>
    <s v="EB-00438"/>
    <s v="Ebru"/>
    <s v="Altun"/>
    <x v="0"/>
    <s v="Mouse"/>
    <n v="8"/>
    <s v="Tslm Edldi"/>
  </r>
  <r>
    <d v="2020-12-18T16:01:00"/>
    <s v="ER-00439"/>
    <s v="Erhan"/>
    <s v="Tutaş"/>
    <x v="0"/>
    <s v="Laptop"/>
    <n v="5"/>
    <s v="Tslm Edldi"/>
  </r>
  <r>
    <d v="2020-06-26T09:47:00"/>
    <s v="Sİ-00440"/>
    <s v="Sibel"/>
    <s v="Ulutaş"/>
    <x v="6"/>
    <s v="Drone"/>
    <n v="9"/>
    <s v="Tamamlandı"/>
  </r>
  <r>
    <d v="2020-03-23T11:55:00"/>
    <s v="HÜ-00441"/>
    <s v="Hümeyra"/>
    <s v="Barçak"/>
    <x v="4"/>
    <s v="Drone"/>
    <n v="9"/>
    <s v="Tslm Edldi"/>
  </r>
  <r>
    <d v="2020-06-24T11:01:00"/>
    <s v="MA-00442"/>
    <s v="Mahmut"/>
    <s v="Yaşar"/>
    <x v="6"/>
    <s v="Drone"/>
    <n v="10"/>
    <s v="Tslm Edldi"/>
  </r>
  <r>
    <d v="2020-08-10T08:40:00"/>
    <s v="AT-00443"/>
    <s v="Atakan"/>
    <s v="Özdemir"/>
    <x v="8"/>
    <s v="Kulaklık"/>
    <n v="4"/>
    <s v="Tslm Edldi"/>
  </r>
  <r>
    <d v="2020-07-09T20:29:00"/>
    <s v="BE-00444"/>
    <s v="Betül"/>
    <s v="Tüfenk"/>
    <x v="1"/>
    <s v="Yazıcı"/>
    <n v="3"/>
    <s v="Tslm Edldi"/>
  </r>
  <r>
    <d v="2020-05-05T14:33:00"/>
    <s v="ÖZ-00445"/>
    <s v="Özlem"/>
    <s v="Özer"/>
    <x v="4"/>
    <s v="Telefon"/>
    <n v="9"/>
    <s v="Tslm Edldi"/>
  </r>
  <r>
    <d v="2020-12-14T10:23:00"/>
    <s v="AR-00446"/>
    <s v="Arif"/>
    <s v="Merhametsiz"/>
    <x v="7"/>
    <s v="Oyun Konsolu"/>
    <n v="5"/>
    <s v="Paketlemede"/>
  </r>
  <r>
    <d v="2020-04-11T19:04:00"/>
    <s v="CE-00447"/>
    <s v="Cem"/>
    <s v="Evik"/>
    <x v="3"/>
    <s v="TV"/>
    <n v="10"/>
    <s v="Paketlemede"/>
  </r>
  <r>
    <d v="2020-03-28T14:18:00"/>
    <s v="ME-00448"/>
    <s v="Mehmet"/>
    <s v="Hilmi Yıldırım"/>
    <x v="4"/>
    <s v="Mouse"/>
    <n v="9"/>
    <s v="Paketlemede"/>
  </r>
  <r>
    <d v="2020-02-26T10:08:00"/>
    <s v="MA-00449"/>
    <s v="Mahperi"/>
    <s v="Demir"/>
    <x v="2"/>
    <s v="Kartuş"/>
    <n v="6"/>
    <s v="Paketlemede"/>
  </r>
  <r>
    <d v="2020-06-09T08:38:00"/>
    <s v="GÜ-00450"/>
    <s v="Gülçin"/>
    <s v="Aksoy"/>
    <x v="1"/>
    <s v="Oyun Konsolu"/>
    <n v="6"/>
    <s v="Tslm Edldi"/>
  </r>
  <r>
    <d v="2020-10-03T14:08:00"/>
    <s v="AH-00451"/>
    <s v="Ahmet"/>
    <s v="Uysal"/>
    <x v="3"/>
    <s v="Yazıcı"/>
    <n v="6"/>
    <s v="Tamamlandı"/>
  </r>
  <r>
    <d v="2020-10-24T11:07:00"/>
    <s v="MÜ-00452"/>
    <s v="Mümtaz"/>
    <s v="Aslankara"/>
    <x v="5"/>
    <s v="Mouse"/>
    <n v="8"/>
    <s v="Paketlemede"/>
  </r>
  <r>
    <d v="2020-08-12T08:59:00"/>
    <s v="AR-00453"/>
    <s v="Arzu"/>
    <s v="Altun"/>
    <x v="3"/>
    <s v="Kartuş"/>
    <n v="9"/>
    <s v="Tslm Edldi"/>
  </r>
  <r>
    <d v="2020-05-07T17:38:00"/>
    <s v="UL-00454"/>
    <s v="Ulaş"/>
    <s v="Ünlü"/>
    <x v="2"/>
    <s v="Klavye"/>
    <n v="7"/>
    <s v="Tamamlandı"/>
  </r>
  <r>
    <d v="2020-08-27T13:25:00"/>
    <s v="HA-00455"/>
    <s v="Haşim"/>
    <s v="Onur Uyğun"/>
    <x v="7"/>
    <s v="Telefon"/>
    <n v="7"/>
    <s v="Tamamlandı"/>
  </r>
  <r>
    <d v="2020-04-12T21:11:00"/>
    <s v="BU-00456"/>
    <s v="Burak"/>
    <s v="Gürakan"/>
    <x v="4"/>
    <s v="Laptop"/>
    <n v="7"/>
    <s v="Tslm Edldi"/>
  </r>
  <r>
    <d v="2020-07-14T14:07:00"/>
    <s v="GÜ-00457"/>
    <s v="Gültekin"/>
    <s v="Günhan Kurt"/>
    <x v="0"/>
    <s v="Drone"/>
    <n v="6"/>
    <s v="Tamamlandı"/>
  </r>
  <r>
    <d v="2020-03-11T17:51:00"/>
    <s v="NA-00458"/>
    <s v="Nalan"/>
    <s v="Gökalp"/>
    <x v="5"/>
    <s v="Oyun Konsolu"/>
    <n v="10"/>
    <s v="Tslm Edldi"/>
  </r>
  <r>
    <d v="2020-10-10T15:30:00"/>
    <s v="AH-00459"/>
    <s v="Ahmet"/>
    <s v="Koçar"/>
    <x v="5"/>
    <s v="Monitör"/>
    <n v="4"/>
    <s v="Kargoda"/>
  </r>
  <r>
    <d v="2020-12-16T19:50:00"/>
    <s v="DO-00460"/>
    <s v="Doğan"/>
    <s v="Orhon"/>
    <x v="6"/>
    <s v="Hard Disk"/>
    <n v="5"/>
    <s v="Tslm Edldi"/>
  </r>
  <r>
    <d v="2020-08-28T12:20:00"/>
    <s v="Zİ-00461"/>
    <s v="Ziya"/>
    <s v="Arıkan Yorgun"/>
    <x v="5"/>
    <s v="Drone"/>
    <n v="4"/>
    <s v="Tslm Edldi"/>
  </r>
  <r>
    <d v="2020-11-15T11:29:00"/>
    <s v="HA-00462"/>
    <s v="Handan"/>
    <s v="Yakar"/>
    <x v="2"/>
    <s v="Yazıcı"/>
    <n v="5"/>
    <s v="Tslm Edldi"/>
  </r>
  <r>
    <d v="2020-08-04T14:29:00"/>
    <s v="MU-00463"/>
    <s v="Muhlis"/>
    <s v="Dede"/>
    <x v="6"/>
    <s v="Oyun Konsolu"/>
    <n v="3"/>
    <s v="Tamamlandı"/>
  </r>
  <r>
    <d v="2020-09-15T22:21:00"/>
    <s v="UF-00464"/>
    <s v="Ufuk"/>
    <s v="Ayas"/>
    <x v="4"/>
    <s v="Yazıcı"/>
    <n v="5"/>
    <s v="Tslm Edldi"/>
  </r>
  <r>
    <d v="2020-09-26T20:09:00"/>
    <s v="AY-00465"/>
    <s v="Ayşegül"/>
    <s v="Kızanoğlu"/>
    <x v="1"/>
    <s v="Kamera"/>
    <n v="4"/>
    <s v="Tslm Edldi"/>
  </r>
  <r>
    <d v="2020-01-04T11:40:00"/>
    <s v="AY-00466"/>
    <s v="Ayşegül"/>
    <s v="Akdeniz"/>
    <x v="6"/>
    <s v="Laptop"/>
    <n v="10"/>
    <s v="Tamamlandı"/>
  </r>
  <r>
    <d v="2020-10-03T19:54:00"/>
    <s v="HA-00467"/>
    <s v="Hande"/>
    <s v="Başman"/>
    <x v="3"/>
    <s v="Kulaklık"/>
    <n v="7"/>
    <s v="Paketlemede"/>
  </r>
  <r>
    <d v="2020-02-19T21:39:00"/>
    <s v="Rİ-00468"/>
    <s v="Rifat"/>
    <s v="Can Akıncı"/>
    <x v="8"/>
    <s v="Kamera"/>
    <n v="8"/>
    <s v="Tslm Edldi"/>
  </r>
  <r>
    <d v="2020-11-14T19:08:00"/>
    <s v="TÜ-00469"/>
    <s v="Tümay"/>
    <s v="Kanyılmaz"/>
    <x v="0"/>
    <s v="Oyun Konsolu"/>
    <n v="10"/>
    <s v="Tamamlandı"/>
  </r>
  <r>
    <d v="2020-09-22T21:42:00"/>
    <s v="FE-00470"/>
    <s v="Ferdi"/>
    <s v="Eroğlu"/>
    <x v="5"/>
    <s v="TV"/>
    <n v="5"/>
    <s v="Tamamlandı"/>
  </r>
  <r>
    <d v="2020-03-11T11:20:00"/>
    <s v="ÖZ-00471"/>
    <s v="Özlem"/>
    <s v="Eser"/>
    <x v="8"/>
    <s v="Laptop"/>
    <n v="6"/>
    <s v="Tslm Edldi"/>
  </r>
  <r>
    <d v="2020-10-28T08:15:00"/>
    <s v="SE-00472"/>
    <s v="Semih"/>
    <s v="Aslan"/>
    <x v="4"/>
    <s v="Klavye"/>
    <n v="10"/>
    <s v="Tslm Edldi"/>
  </r>
  <r>
    <d v="2020-07-14T20:31:00"/>
    <s v="FE-00473"/>
    <s v="Ferdi"/>
    <s v="Işık"/>
    <x v="4"/>
    <s v="Telefon"/>
    <n v="10"/>
    <s v="Tamamlandı"/>
  </r>
  <r>
    <d v="2020-06-23T14:31:00"/>
    <s v="MU-00474"/>
    <s v="Mustafa"/>
    <s v="Gürhan Dal"/>
    <x v="1"/>
    <s v="Laptop"/>
    <n v="7"/>
    <s v="Tslm Edldi"/>
  </r>
  <r>
    <d v="2020-08-01T17:54:00"/>
    <s v="TA-00475"/>
    <s v="Taylan"/>
    <s v="Cömert"/>
    <x v="6"/>
    <s v="TV"/>
    <n v="10"/>
    <s v="Tslm Edldi"/>
  </r>
  <r>
    <d v="2020-04-28T20:16:00"/>
    <s v="BE-00476"/>
    <s v="Betül"/>
    <s v="Yazak"/>
    <x v="8"/>
    <s v="Drone"/>
    <n v="10"/>
    <s v="Tslm Edldi"/>
  </r>
  <r>
    <d v="2020-05-23T21:35:00"/>
    <s v="ME-00477"/>
    <s v="Mehtap"/>
    <s v="Göksoy"/>
    <x v="3"/>
    <s v="Laptop"/>
    <n v="5"/>
    <s v="Tamamlandı"/>
  </r>
  <r>
    <d v="2020-11-13T17:09:00"/>
    <s v="MA-00478"/>
    <s v="Mahmut"/>
    <s v="Esat Topkara"/>
    <x v="1"/>
    <s v="Monitör"/>
    <n v="9"/>
    <s v="Paketlemede"/>
  </r>
  <r>
    <d v="2020-04-04T13:00:00"/>
    <s v="ÜM-00479"/>
    <s v="Ümit"/>
    <s v="Ercan"/>
    <x v="8"/>
    <s v="Mouse"/>
    <n v="3"/>
    <s v="Tslm Edldi"/>
  </r>
  <r>
    <d v="2020-05-02T15:31:00"/>
    <s v="ME-00480"/>
    <s v="Mete"/>
    <s v="Güler"/>
    <x v="3"/>
    <s v="Mouse"/>
    <n v="8"/>
    <s v="Paketlemede"/>
  </r>
  <r>
    <d v="2020-06-10T09:28:00"/>
    <s v="OS-00481"/>
    <s v="Osman"/>
    <s v="Ersegun Koç"/>
    <x v="1"/>
    <s v="Mouse"/>
    <n v="7"/>
    <s v="Tamamlandı"/>
  </r>
  <r>
    <d v="2020-08-02T22:17:00"/>
    <s v="CU-00482"/>
    <s v="Cumhur"/>
    <s v="Kireççi"/>
    <x v="8"/>
    <s v="Telefon"/>
    <n v="7"/>
    <s v="Tamamlandı"/>
  </r>
  <r>
    <d v="2020-09-23T18:48:00"/>
    <s v="SÜ-00483"/>
    <s v="Süleyman"/>
    <s v="Sonay"/>
    <x v="1"/>
    <s v="Kartuş"/>
    <n v="6"/>
    <s v="Tslm Edldi"/>
  </r>
  <r>
    <d v="2020-11-20T20:32:00"/>
    <s v="Nİ-00484"/>
    <s v="Nihat"/>
    <s v="Kaya"/>
    <x v="6"/>
    <s v="Hard Disk"/>
    <n v="7"/>
    <s v="Tamamlandı"/>
  </r>
  <r>
    <d v="2020-10-23T17:43:00"/>
    <s v="EM-00485"/>
    <s v="Emrah"/>
    <s v="Kurtuluş"/>
    <x v="3"/>
    <s v="Klavye"/>
    <n v="9"/>
    <s v="Tslm Edldi"/>
  </r>
  <r>
    <d v="2020-09-06T11:58:00"/>
    <s v="EL-00486"/>
    <s v="Elif"/>
    <s v="Erol"/>
    <x v="1"/>
    <s v="Yazıcı"/>
    <n v="7"/>
    <s v="Tslm Edldi"/>
  </r>
  <r>
    <d v="2020-02-12T18:34:00"/>
    <s v="SE-00487"/>
    <s v="Selami"/>
    <s v="Değirmenci"/>
    <x v="6"/>
    <s v="Kamera"/>
    <n v="6"/>
    <s v="Paketlemede"/>
  </r>
  <r>
    <d v="2020-09-18T08:10:00"/>
    <s v="NE-00488"/>
    <s v="Neslihan"/>
    <s v="Hancıoğlu"/>
    <x v="4"/>
    <s v="Yazıcı"/>
    <n v="3"/>
    <s v="Paketlemede"/>
  </r>
  <r>
    <d v="2020-11-14T20:46:00"/>
    <s v="EN-00489"/>
    <s v="Enver"/>
    <s v="Yıldız Altun"/>
    <x v="2"/>
    <s v="Webcam"/>
    <n v="7"/>
    <s v="Tslm Edldi"/>
  </r>
  <r>
    <d v="2020-10-20T15:09:00"/>
    <s v="SA-00490"/>
    <s v="Sabahattin"/>
    <s v="Şener"/>
    <x v="0"/>
    <s v="Kulaklık"/>
    <n v="9"/>
    <s v="Paketlemede"/>
  </r>
  <r>
    <d v="2020-02-26T12:29:00"/>
    <s v="SE-00491"/>
    <s v="Serkan"/>
    <s v="Büber"/>
    <x v="4"/>
    <s v="Yazıcı"/>
    <n v="6"/>
    <s v="Tslm Edldi"/>
  </r>
  <r>
    <d v="2020-02-19T09:42:00"/>
    <s v="ME-00492"/>
    <s v="Mehtap"/>
    <s v="Halhallı"/>
    <x v="3"/>
    <s v="Monitör"/>
    <n v="9"/>
    <s v="Tslm Edldi"/>
  </r>
  <r>
    <d v="2020-12-18T19:17:00"/>
    <s v="SE-00493"/>
    <s v="Serhat"/>
    <s v="Altuntaş"/>
    <x v="5"/>
    <s v="Kamera"/>
    <n v="6"/>
    <s v="Paketlemede"/>
  </r>
  <r>
    <d v="2020-11-09T09:45:00"/>
    <s v="LE-00494"/>
    <s v="Levent"/>
    <s v="Koçarslan"/>
    <x v="8"/>
    <s v="Yazıcı"/>
    <n v="10"/>
    <s v="Paketlemede"/>
  </r>
  <r>
    <d v="2020-11-07T19:13:00"/>
    <s v="SA-00495"/>
    <s v="Saliha"/>
    <s v="Uygur"/>
    <x v="7"/>
    <s v="TV"/>
    <n v="10"/>
    <s v="Tslm Edldi"/>
  </r>
  <r>
    <d v="2020-04-24T15:14:00"/>
    <s v="ME-00496"/>
    <s v="Meltem"/>
    <s v="Hale Gülen"/>
    <x v="3"/>
    <s v="Yazıcı"/>
    <n v="5"/>
    <s v="Tslm Edldi"/>
  </r>
  <r>
    <d v="2020-04-12T22:18:00"/>
    <s v="Şİ-00497"/>
    <s v="Şirin"/>
    <s v="Talan"/>
    <x v="6"/>
    <s v="Oyun Konsolu"/>
    <n v="10"/>
    <s v="Paketlemede"/>
  </r>
  <r>
    <d v="2020-03-03T09:23:00"/>
    <s v="AS-00498"/>
    <s v="Aslı"/>
    <s v="Taşar"/>
    <x v="8"/>
    <s v="TV"/>
    <n v="3"/>
    <s v="Paketlemede"/>
  </r>
  <r>
    <d v="2020-09-08T19:24:00"/>
    <s v="YU-00499"/>
    <s v="Yusuf"/>
    <s v="Kenan Ertekin"/>
    <x v="0"/>
    <s v="Hard Disk"/>
    <n v="7"/>
    <s v="Tslm Edldi"/>
  </r>
  <r>
    <d v="2020-03-17T14:41:00"/>
    <s v="Nİ-00500"/>
    <s v="Nilay"/>
    <s v="Söker"/>
    <x v="8"/>
    <s v="Kulaklık"/>
    <n v="3"/>
    <s v="Tamamlandı"/>
  </r>
  <r>
    <d v="2020-08-04T16:47:00"/>
    <s v="SA-00501"/>
    <s v="Samet"/>
    <s v="Yüce"/>
    <x v="7"/>
    <s v="Laptop"/>
    <n v="7"/>
    <s v="Paketlemede"/>
  </r>
  <r>
    <d v="2020-09-11T19:11:00"/>
    <s v="SÜ-00502"/>
    <s v="Süleyman"/>
    <s v="Ercan"/>
    <x v="2"/>
    <s v="Kulaklık"/>
    <n v="4"/>
    <s v="Tslm Edldi"/>
  </r>
  <r>
    <d v="2020-08-08T09:19:00"/>
    <s v="GÜ-00503"/>
    <s v="Gülşah"/>
    <s v="Özdemir"/>
    <x v="7"/>
    <s v="Klavye"/>
    <n v="10"/>
    <s v="Paketlemede"/>
  </r>
  <r>
    <d v="2020-01-24T13:57:00"/>
    <s v="SE-00504"/>
    <s v="Seher"/>
    <s v="Özlem Ünüş"/>
    <x v="7"/>
    <s v="TV"/>
    <n v="4"/>
    <s v="Tslm Edldi"/>
  </r>
  <r>
    <d v="2020-03-05T09:24:00"/>
    <s v="ÖZ-00505"/>
    <s v="Özgür"/>
    <s v="Duman"/>
    <x v="1"/>
    <s v="Drone"/>
    <n v="10"/>
    <s v="Tamamlandı"/>
  </r>
  <r>
    <d v="2020-11-20T20:01:00"/>
    <s v="AL-00506"/>
    <s v="Ali"/>
    <s v="Şen"/>
    <x v="2"/>
    <s v="Monitör"/>
    <n v="10"/>
    <s v="Tslm Edldi"/>
  </r>
  <r>
    <d v="2020-12-24T10:34:00"/>
    <s v="SE-00507"/>
    <s v="Seyfi"/>
    <s v="Cem Eren"/>
    <x v="5"/>
    <s v="Kamera"/>
    <n v="3"/>
    <s v="Tslm Edldi"/>
  </r>
  <r>
    <d v="2020-04-28T09:47:00"/>
    <s v="Dİ-00508"/>
    <s v="Dilek"/>
    <s v="Çildir"/>
    <x v="4"/>
    <s v="Oyun Konsolu"/>
    <n v="9"/>
    <s v="Paketlemede"/>
  </r>
  <r>
    <d v="2020-04-14T16:34:00"/>
    <s v="SA-00509"/>
    <s v="Savaş"/>
    <s v="Özmen"/>
    <x v="7"/>
    <s v="Drone"/>
    <n v="9"/>
    <s v="Kargoda"/>
  </r>
  <r>
    <d v="2020-06-28T15:40:00"/>
    <s v="ÇE-00510"/>
    <s v="Çetin"/>
    <s v="Karaköse"/>
    <x v="2"/>
    <s v="Drone"/>
    <n v="9"/>
    <s v="Tslm Edldi"/>
  </r>
  <r>
    <d v="2020-03-01T14:26:00"/>
    <s v="BA-00511"/>
    <s v="Başak"/>
    <s v="Ocak"/>
    <x v="3"/>
    <s v="Kamera"/>
    <n v="10"/>
    <s v="Tslm Edldi"/>
  </r>
  <r>
    <d v="2020-04-24T19:57:00"/>
    <s v="ÖZ-00512"/>
    <s v="Özhan"/>
    <s v="Güzel"/>
    <x v="3"/>
    <s v="Monitör"/>
    <n v="9"/>
    <s v="Tslm Edldi"/>
  </r>
  <r>
    <d v="2020-11-26T21:27:00"/>
    <s v="AY-00513"/>
    <s v="Aysel"/>
    <s v="Aydın"/>
    <x v="6"/>
    <s v="Webcam"/>
    <n v="5"/>
    <s v="Tslm Edldi"/>
  </r>
  <r>
    <d v="2020-10-01T11:15:00"/>
    <s v="AD-00514"/>
    <s v="Adem"/>
    <s v="Gümüşay"/>
    <x v="0"/>
    <s v="Klavye"/>
    <n v="9"/>
    <s v="Tamamlandı"/>
  </r>
  <r>
    <d v="2020-07-06T09:38:00"/>
    <s v="YE-00515"/>
    <s v="Yeliz"/>
    <s v="Vural"/>
    <x v="8"/>
    <s v="Oyun Konsolu"/>
    <n v="10"/>
    <s v="Tslm Edldi"/>
  </r>
  <r>
    <d v="2020-07-18T18:39:00"/>
    <s v="PA-00516"/>
    <s v="Papatya"/>
    <s v="Murt"/>
    <x v="4"/>
    <s v="Monitör"/>
    <n v="7"/>
    <s v="Tslm Edldi"/>
  </r>
  <r>
    <d v="2020-07-13T10:41:00"/>
    <s v="ME-00517"/>
    <s v="Mehmet"/>
    <s v="Arifoğlu"/>
    <x v="0"/>
    <s v="Kamera"/>
    <n v="10"/>
    <s v="Tslm Edldi"/>
  </r>
  <r>
    <d v="2020-05-21T15:09:00"/>
    <s v="BU-00518"/>
    <s v="Burcu"/>
    <s v="Sevingil"/>
    <x v="0"/>
    <s v="Kamera"/>
    <n v="9"/>
    <s v="Tamamlandı"/>
  </r>
  <r>
    <d v="2020-05-04T09:08:00"/>
    <s v="AH-00519"/>
    <s v="Ahmet"/>
    <s v="Önvermez"/>
    <x v="6"/>
    <s v="Kamera"/>
    <n v="8"/>
    <s v="Tamamlandı"/>
  </r>
  <r>
    <d v="2020-07-24T10:26:00"/>
    <s v="AZ-00520"/>
    <s v="Aziz"/>
    <s v="Atik"/>
    <x v="4"/>
    <s v="Monitör"/>
    <n v="10"/>
    <s v="Tamamlandı"/>
  </r>
  <r>
    <d v="2020-05-24T18:02:00"/>
    <s v="NU-00521"/>
    <s v="Nurdan"/>
    <s v="Olpak"/>
    <x v="0"/>
    <s v="Mouse"/>
    <n v="7"/>
    <s v="Tslm Edldi"/>
  </r>
  <r>
    <d v="2020-04-26T20:53:00"/>
    <s v="DE-00522"/>
    <s v="Derya"/>
    <s v="Ak Yıldırım"/>
    <x v="3"/>
    <s v="Mouse"/>
    <n v="7"/>
    <s v="Paketlemede"/>
  </r>
  <r>
    <d v="2020-06-15T22:18:00"/>
    <s v="BA-00523"/>
    <s v="Barış"/>
    <s v="Altun"/>
    <x v="7"/>
    <s v="Monitör"/>
    <n v="6"/>
    <s v="Tslm Edldi"/>
  </r>
  <r>
    <d v="2020-12-25T19:44:00"/>
    <s v="BA-00524"/>
    <s v="Barış"/>
    <s v="Kumral"/>
    <x v="6"/>
    <s v="Laptop"/>
    <n v="3"/>
    <s v="Tslm Edldi"/>
  </r>
  <r>
    <d v="2020-10-20T11:37:00"/>
    <s v="YU-00525"/>
    <s v="Yusuf"/>
    <s v="Kenan Günay"/>
    <x v="0"/>
    <s v="Oyun Konsolu"/>
    <n v="8"/>
    <s v="Tslm Edldi"/>
  </r>
  <r>
    <d v="2020-08-02T16:20:00"/>
    <s v="BA-00526"/>
    <s v="Barış"/>
    <s v="Topal"/>
    <x v="7"/>
    <s v="Kartuş"/>
    <n v="6"/>
    <s v="Paketlemede"/>
  </r>
  <r>
    <d v="2020-12-17T12:30:00"/>
    <s v="EM-00527"/>
    <s v="Emre"/>
    <s v="Demiröz"/>
    <x v="8"/>
    <s v="Webcam"/>
    <n v="4"/>
    <s v="Tslm Edldi"/>
  </r>
  <r>
    <d v="2020-10-25T20:57:00"/>
    <s v="TA-00528"/>
    <s v="Tansu"/>
    <s v="Yıldız"/>
    <x v="6"/>
    <s v="Kulaklık"/>
    <n v="7"/>
    <s v="Tslm Edldi"/>
  </r>
  <r>
    <d v="2020-07-26T19:56:00"/>
    <s v="HA-00529"/>
    <s v="Handan"/>
    <s v="Göncü"/>
    <x v="1"/>
    <s v="Drone"/>
    <n v="4"/>
    <s v="Tamamlandı"/>
  </r>
  <r>
    <d v="2020-09-14T18:04:00"/>
    <s v="Bİ-00530"/>
    <s v="Birsen"/>
    <s v="Tülüce"/>
    <x v="1"/>
    <s v="Hard Disk"/>
    <n v="3"/>
    <s v="Tslm Edldi"/>
  </r>
  <r>
    <d v="2020-11-28T12:01:00"/>
    <s v="SE-00531"/>
    <s v="Semih"/>
    <s v="Özateş"/>
    <x v="8"/>
    <s v="Oyun Konsolu"/>
    <n v="10"/>
    <s v="Tslm Edldi"/>
  </r>
  <r>
    <d v="2020-05-01T18:10:00"/>
    <s v="SE-00532"/>
    <s v="Serhat"/>
    <s v="Yücetürk"/>
    <x v="6"/>
    <s v="Oyun Konsolu"/>
    <n v="7"/>
    <s v="Paketlemede"/>
  </r>
  <r>
    <d v="2020-08-09T11:26:00"/>
    <s v="HA-00533"/>
    <s v="Hasan"/>
    <s v="Alay"/>
    <x v="6"/>
    <s v="Webcam"/>
    <n v="7"/>
    <s v="Tamamlandı"/>
  </r>
  <r>
    <d v="2020-10-10T08:52:00"/>
    <s v="Fİ-00534"/>
    <s v="Filiz"/>
    <s v="Köşker"/>
    <x v="3"/>
    <s v="Telefon"/>
    <n v="8"/>
    <s v="Tslm Edldi"/>
  </r>
  <r>
    <d v="2020-04-18T12:07:00"/>
    <s v="İL-00535"/>
    <s v="İlkay"/>
    <s v="Dilek"/>
    <x v="2"/>
    <s v="Klavye"/>
    <n v="8"/>
    <s v="Tamamlandı"/>
  </r>
  <r>
    <d v="2020-07-17T11:10:00"/>
    <s v="HA-00536"/>
    <s v="Hayri"/>
    <s v="Öden"/>
    <x v="0"/>
    <s v="Kamera"/>
    <n v="8"/>
    <s v="Tslm Edldi"/>
  </r>
  <r>
    <d v="2020-07-11T22:29:00"/>
    <s v="SE-00537"/>
    <s v="Selçuk"/>
    <s v="Beyoğlu"/>
    <x v="0"/>
    <s v="Oyun Konsolu"/>
    <n v="6"/>
    <s v="Tslm Edldi"/>
  </r>
  <r>
    <d v="2020-06-10T15:32:00"/>
    <s v="NU-00538"/>
    <s v="Nurdan"/>
    <s v="Yurtlu"/>
    <x v="7"/>
    <s v="Klavye"/>
    <n v="3"/>
    <s v="Tslm Edldi"/>
  </r>
  <r>
    <d v="2020-08-07T22:40:00"/>
    <s v="NU-00539"/>
    <s v="Nurdan"/>
    <s v="Bölük"/>
    <x v="2"/>
    <s v="Drone"/>
    <n v="5"/>
    <s v="Paketlemede"/>
  </r>
  <r>
    <d v="2020-04-15T21:31:00"/>
    <s v="SE-00540"/>
    <s v="Serhat"/>
    <s v="Doğan"/>
    <x v="5"/>
    <s v="Laptop"/>
    <n v="5"/>
    <s v="Tslm Edldi"/>
  </r>
  <r>
    <d v="2020-03-23T09:24:00"/>
    <s v="RA-00541"/>
    <s v="Rabia"/>
    <s v="Mesci Haftacı"/>
    <x v="2"/>
    <s v="Hard Disk"/>
    <n v="9"/>
    <s v="Tslm Edldi"/>
  </r>
  <r>
    <d v="2020-03-04T09:40:00"/>
    <s v="ON-00542"/>
    <s v="Onur"/>
    <s v="Kadir Köşker"/>
    <x v="1"/>
    <s v="TV"/>
    <n v="6"/>
    <s v="Tslm Edldi"/>
  </r>
  <r>
    <d v="2020-08-10T10:20:00"/>
    <s v="MU-00543"/>
    <s v="Muhammet"/>
    <s v="Devran Alay"/>
    <x v="0"/>
    <s v="Hard Disk"/>
    <n v="8"/>
    <s v="Tslm Edldi"/>
  </r>
  <r>
    <d v="2020-05-16T14:43:00"/>
    <s v="OS-00544"/>
    <s v="Osman"/>
    <s v="Ersegun Karadağ Geçgel"/>
    <x v="1"/>
    <s v="Hard Disk"/>
    <n v="7"/>
    <s v="Tslm Edldi"/>
  </r>
  <r>
    <d v="2020-03-07T20:42:00"/>
    <s v="İS-00545"/>
    <s v="İsmail"/>
    <s v="Özalp"/>
    <x v="4"/>
    <s v="Kulaklık"/>
    <n v="10"/>
    <s v="Tamamlandı"/>
  </r>
  <r>
    <d v="2020-03-11T15:21:00"/>
    <s v="DU-00546"/>
    <s v="Duçem"/>
    <s v="Akdemir"/>
    <x v="5"/>
    <s v="Kamera"/>
    <n v="8"/>
    <s v="Paketlemede"/>
  </r>
  <r>
    <d v="2020-09-16T20:39:00"/>
    <s v="FU-00547"/>
    <s v="Fuat"/>
    <s v="Köroğlu"/>
    <x v="6"/>
    <s v="Kamera"/>
    <n v="9"/>
    <s v="Tamamlandı"/>
  </r>
  <r>
    <d v="2020-11-08T15:21:00"/>
    <s v="AY-00548"/>
    <s v="Ayşe"/>
    <s v="Gül Sorgun Evcili"/>
    <x v="1"/>
    <s v="Hard Disk"/>
    <n v="7"/>
    <s v="Tslm Edldi"/>
  </r>
  <r>
    <d v="2020-04-22T12:18:00"/>
    <s v="HA-00549"/>
    <s v="Haççe"/>
    <s v="Sevinç"/>
    <x v="8"/>
    <s v="Klavye"/>
    <n v="5"/>
    <s v="Tslm Edldi"/>
  </r>
  <r>
    <d v="2020-06-05T16:28:00"/>
    <s v="MU-00550"/>
    <s v="Mustafa"/>
    <s v="Ferhat Ekici"/>
    <x v="2"/>
    <s v="Telefon"/>
    <n v="8"/>
    <s v="Tslm Edldi"/>
  </r>
  <r>
    <d v="2020-02-05T16:29:00"/>
    <s v="MU-00551"/>
    <s v="Muhammet"/>
    <s v="Tayyip Arslan"/>
    <x v="5"/>
    <s v="Oyun Konsolu"/>
    <n v="9"/>
    <s v="Paketlemede"/>
  </r>
  <r>
    <d v="2020-08-11T21:44:00"/>
    <s v="İL-00552"/>
    <s v="İlknur"/>
    <s v="Karakuş"/>
    <x v="7"/>
    <s v="Oyun Konsolu"/>
    <n v="5"/>
    <s v="Tamamlandı"/>
  </r>
  <r>
    <d v="2020-10-05T17:03:00"/>
    <s v="AL-00553"/>
    <s v="Almala"/>
    <s v="Pınar Hıdıroğlu"/>
    <x v="1"/>
    <s v="Mouse"/>
    <n v="5"/>
    <s v="Tslm Edldi"/>
  </r>
  <r>
    <d v="2020-03-05T13:34:00"/>
    <s v="BE-00554"/>
    <s v="Berna"/>
    <s v="Kılıç"/>
    <x v="6"/>
    <s v="Kartuş"/>
    <n v="6"/>
    <s v="Tslm Edldi"/>
  </r>
  <r>
    <d v="2020-08-21T10:01:00"/>
    <s v="HA-00555"/>
    <s v="Halil"/>
    <s v="Asena"/>
    <x v="5"/>
    <s v="Kamera"/>
    <n v="6"/>
    <s v="Tslm Edldi"/>
  </r>
  <r>
    <d v="2020-07-14T20:56:00"/>
    <s v="NU-00556"/>
    <s v="Nurcan"/>
    <s v="Sever"/>
    <x v="2"/>
    <s v="Kamera"/>
    <n v="9"/>
    <s v="Tslm Edldi"/>
  </r>
  <r>
    <d v="2020-12-26T21:15:00"/>
    <s v="TU-00557"/>
    <s v="Tuba"/>
    <s v="Şener"/>
    <x v="8"/>
    <s v="Kulaklık"/>
    <n v="7"/>
    <s v="Tslm Edldi"/>
  </r>
  <r>
    <d v="2020-04-24T18:06:00"/>
    <s v="ME-00558"/>
    <s v="Mehmet"/>
    <s v="Akın"/>
    <x v="0"/>
    <s v="TV"/>
    <n v="7"/>
    <s v="Tamamlandı"/>
  </r>
  <r>
    <d v="2020-06-05T21:09:00"/>
    <s v="DE-00559"/>
    <s v="Deniz"/>
    <s v="Aksoy"/>
    <x v="8"/>
    <s v="Hard Disk"/>
    <n v="7"/>
    <s v="Tslm Edldi"/>
  </r>
  <r>
    <d v="2020-03-02T14:52:00"/>
    <s v="AY-00560"/>
    <s v="Aykut"/>
    <s v="Şahin"/>
    <x v="5"/>
    <s v="Kamera"/>
    <n v="9"/>
    <s v="Paketlemede"/>
  </r>
  <r>
    <d v="2020-04-06T21:25:00"/>
    <s v="HA-00561"/>
    <s v="Hande"/>
    <s v="Akdeniz"/>
    <x v="5"/>
    <s v="Mouse"/>
    <n v="3"/>
    <s v="Tslm Edldi"/>
  </r>
  <r>
    <d v="2020-08-25T14:03:00"/>
    <s v="Fİ-00562"/>
    <s v="Filiz"/>
    <s v="Karagöz"/>
    <x v="6"/>
    <s v="Oyun Konsolu"/>
    <n v="6"/>
    <s v="Tslm Edldi"/>
  </r>
  <r>
    <d v="2020-05-17T18:50:00"/>
    <s v="EN-00563"/>
    <s v="Engin"/>
    <s v="Düger"/>
    <x v="0"/>
    <s v="Laptop"/>
    <n v="10"/>
    <s v="Tslm Edldi"/>
  </r>
  <r>
    <d v="2020-10-08T17:24:00"/>
    <s v="HA-00564"/>
    <s v="Hatice"/>
    <s v="Kayacan"/>
    <x v="5"/>
    <s v="TV"/>
    <n v="6"/>
    <s v="Tslm Edldi"/>
  </r>
  <r>
    <d v="2020-09-18T09:34:00"/>
    <s v="MA-00565"/>
    <s v="Mahmut"/>
    <s v="Evik"/>
    <x v="6"/>
    <s v="Klavye"/>
    <n v="5"/>
    <s v="Kargoda"/>
  </r>
  <r>
    <d v="2020-04-15T08:14:00"/>
    <s v="HA-00566"/>
    <s v="Hatun"/>
    <s v="Arslan"/>
    <x v="0"/>
    <s v="Hard Disk"/>
    <n v="7"/>
    <s v="Tamamlandı"/>
  </r>
  <r>
    <d v="2020-11-27T17:45:00"/>
    <s v="BA-00567"/>
    <s v="Bahadır"/>
    <s v="Özdoğan"/>
    <x v="2"/>
    <s v="Klavye"/>
    <n v="7"/>
    <s v="Tamamlandı"/>
  </r>
  <r>
    <d v="2020-04-04T15:25:00"/>
    <s v="SE-00568"/>
    <s v="Serhat"/>
    <s v="Burkay Karahan"/>
    <x v="4"/>
    <s v="Kartuş"/>
    <n v="10"/>
    <s v="Paketlemede"/>
  </r>
  <r>
    <d v="2020-12-07T20:51:00"/>
    <s v="FE-00569"/>
    <s v="Ferhan"/>
    <s v="Dökmeci"/>
    <x v="3"/>
    <s v="Mouse"/>
    <n v="10"/>
    <s v="Tslm Edldi"/>
  </r>
  <r>
    <d v="2020-11-01T18:29:00"/>
    <s v="SE-00570"/>
    <s v="Seçkin"/>
    <s v="Güngör"/>
    <x v="7"/>
    <s v="Drone"/>
    <n v="5"/>
    <s v="Tslm Edldi"/>
  </r>
  <r>
    <d v="2020-01-05T22:20:00"/>
    <s v="İS-00571"/>
    <s v="İsa"/>
    <s v="Cindemir"/>
    <x v="8"/>
    <s v="Klavye"/>
    <n v="4"/>
    <s v="Paketlemede"/>
  </r>
  <r>
    <d v="2020-03-03T12:52:00"/>
    <s v="AB-00572"/>
    <s v="Abdullah"/>
    <s v="Arif Karslı"/>
    <x v="0"/>
    <s v="Monitör"/>
    <n v="6"/>
    <s v="Tamamlandı"/>
  </r>
  <r>
    <d v="2020-03-04T13:23:00"/>
    <s v="NU-00573"/>
    <s v="Nursel"/>
    <s v="Özel"/>
    <x v="6"/>
    <s v="Klavye"/>
    <n v="6"/>
    <s v="Tslm Edldi"/>
  </r>
  <r>
    <d v="2020-11-03T21:51:00"/>
    <s v="SE-00574"/>
    <s v="Seda"/>
    <s v="Elçim Belgemen"/>
    <x v="1"/>
    <s v="Laptop"/>
    <n v="6"/>
    <s v="Tslm Edldi"/>
  </r>
  <r>
    <d v="2020-01-01T09:31:00"/>
    <s v="TÜ-00575"/>
    <s v="Tülay"/>
    <s v="Danışoğlu"/>
    <x v="5"/>
    <s v="Kulaklık"/>
    <n v="7"/>
    <s v="Tamamlandı"/>
  </r>
  <r>
    <d v="2020-04-15T11:09:00"/>
    <s v="MU-00576"/>
    <s v="Mustafa"/>
    <s v="Işık"/>
    <x v="0"/>
    <s v="Yazıcı"/>
    <n v="9"/>
    <s v="Tslm Edldi"/>
  </r>
  <r>
    <d v="2020-04-12T21:18:00"/>
    <s v="PI-00577"/>
    <s v="Pınar"/>
    <s v="Kaya"/>
    <x v="5"/>
    <s v="Yazıcı"/>
    <n v="9"/>
    <s v="Paketlemede"/>
  </r>
  <r>
    <d v="2020-07-19T14:06:00"/>
    <s v="DU-00578"/>
    <s v="Duygu"/>
    <s v="Akhun"/>
    <x v="7"/>
    <s v="Drone"/>
    <n v="7"/>
    <s v="Tslm Edldi"/>
  </r>
  <r>
    <d v="2020-12-22T17:58:00"/>
    <s v="ME-00579"/>
    <s v="Mehmet"/>
    <s v="Reşit Tay"/>
    <x v="8"/>
    <s v="Yazıcı"/>
    <n v="6"/>
    <s v="Tslm Edldi"/>
  </r>
  <r>
    <d v="2020-06-17T10:34:00"/>
    <s v="ÖZ-00580"/>
    <s v="Özlem"/>
    <s v="Bozoğlan"/>
    <x v="0"/>
    <s v="Drone"/>
    <n v="8"/>
    <s v="Tamamlandı"/>
  </r>
  <r>
    <d v="2020-01-08T15:58:00"/>
    <s v="ZA-00581"/>
    <s v="Zahide"/>
    <s v="Cengiz"/>
    <x v="2"/>
    <s v="Kartuş"/>
    <n v="9"/>
    <s v="Tamamlandı"/>
  </r>
  <r>
    <d v="2020-03-27T15:31:00"/>
    <s v="Mİ-00582"/>
    <s v="Mine"/>
    <s v="Öz"/>
    <x v="0"/>
    <s v="Yazıcı"/>
    <n v="10"/>
    <s v="Paketlemede"/>
  </r>
  <r>
    <d v="2020-09-05T15:09:00"/>
    <s v="ZÜ-00583"/>
    <s v="Zühal"/>
    <s v="Gülsüm Uğuz"/>
    <x v="0"/>
    <s v="Kartuş"/>
    <n v="3"/>
    <s v="Tslm Edldi"/>
  </r>
  <r>
    <d v="2020-09-24T20:54:00"/>
    <s v="MU-00584"/>
    <s v="Mumun"/>
    <s v="Ünüş"/>
    <x v="2"/>
    <s v="Monitör"/>
    <n v="10"/>
    <s v="Tslm Edldi"/>
  </r>
  <r>
    <d v="2020-07-23T21:44:00"/>
    <s v="ER-00585"/>
    <s v="Ergül"/>
    <s v="Kızmaz"/>
    <x v="3"/>
    <s v="Telefon"/>
    <n v="5"/>
    <s v="Tslm Edldi"/>
  </r>
  <r>
    <d v="2020-06-21T21:53:00"/>
    <s v="ME-00586"/>
    <s v="Meltem"/>
    <s v="Karacan"/>
    <x v="8"/>
    <s v="Kamera"/>
    <n v="10"/>
    <s v="Tslm Edldi"/>
  </r>
  <r>
    <d v="2020-05-03T09:30:00"/>
    <s v="EM-00587"/>
    <s v="Emel"/>
    <s v="Ünlü"/>
    <x v="1"/>
    <s v="Kamera"/>
    <n v="8"/>
    <s v="Tslm Edldi"/>
  </r>
  <r>
    <d v="2020-09-16T15:55:00"/>
    <s v="AY-00588"/>
    <s v="Ayşen"/>
    <s v="Gerdan"/>
    <x v="1"/>
    <s v="Drone"/>
    <n v="6"/>
    <s v="Kargoda"/>
  </r>
  <r>
    <d v="2020-11-18T10:00:00"/>
    <s v="Nİ-00589"/>
    <s v="Nihal"/>
    <s v="Özdemir"/>
    <x v="1"/>
    <s v="Laptop"/>
    <n v="8"/>
    <s v="Tslm Edldi"/>
  </r>
  <r>
    <d v="2020-03-04T14:11:00"/>
    <s v="HÜ-00590"/>
    <s v="Hüseyin"/>
    <s v="Doğan"/>
    <x v="4"/>
    <s v="Klavye"/>
    <n v="10"/>
    <s v="Tamamlandı"/>
  </r>
  <r>
    <d v="2020-11-11T15:06:00"/>
    <s v="NU-00591"/>
    <s v="Nurdan"/>
    <s v="Köşker"/>
    <x v="6"/>
    <s v="Kamera"/>
    <n v="4"/>
    <s v="Tslm Edldi"/>
  </r>
  <r>
    <d v="2020-04-20T13:20:00"/>
    <s v="ZE-00592"/>
    <s v="Zeliha"/>
    <s v="Bozkurter"/>
    <x v="4"/>
    <s v="Hard Disk"/>
    <n v="7"/>
    <s v="Tslm Edldi"/>
  </r>
  <r>
    <d v="2020-05-02T16:44:00"/>
    <s v="Nİ-00593"/>
    <s v="Nizamettin"/>
    <s v="Nurçin"/>
    <x v="3"/>
    <s v="TV"/>
    <n v="4"/>
    <s v="Tamamlandı"/>
  </r>
  <r>
    <d v="2020-03-03T19:07:00"/>
    <s v="ER-00594"/>
    <s v="Eray"/>
    <s v="Altuna"/>
    <x v="6"/>
    <s v="Webcam"/>
    <n v="6"/>
    <s v="Tamamlandı"/>
  </r>
  <r>
    <d v="2020-03-14T14:33:00"/>
    <s v="Mİ-00595"/>
    <s v="Miray"/>
    <s v="Alabalık"/>
    <x v="8"/>
    <s v="Mouse"/>
    <n v="9"/>
    <s v="Tslm Edldi"/>
  </r>
  <r>
    <d v="2020-12-15T11:37:00"/>
    <s v="SE-00596"/>
    <s v="Selma"/>
    <s v="Akgül"/>
    <x v="3"/>
    <s v="Oyun Konsolu"/>
    <n v="7"/>
    <s v="Paketlemede"/>
  </r>
  <r>
    <d v="2020-06-17T12:39:00"/>
    <s v="CE-00597"/>
    <s v="Cenk"/>
    <s v="Kızmazoğlu"/>
    <x v="8"/>
    <s v="Laptop"/>
    <n v="4"/>
    <s v="Sipariş İptali"/>
  </r>
  <r>
    <d v="2020-12-22T08:35:00"/>
    <s v="EB-00598"/>
    <s v="Ebru"/>
    <s v="Kızanoğlu"/>
    <x v="6"/>
    <s v="TV"/>
    <n v="8"/>
    <s v="Tslm Edldi"/>
  </r>
  <r>
    <d v="2020-07-03T12:57:00"/>
    <s v="MU-00599"/>
    <s v="Muhammet"/>
    <s v="Murat Alpınar"/>
    <x v="0"/>
    <s v="TV"/>
    <n v="10"/>
    <s v="Tamamlandı"/>
  </r>
  <r>
    <d v="2020-09-06T13:32:00"/>
    <s v="SE-00600"/>
    <s v="Semih"/>
    <s v="Tavşan"/>
    <x v="2"/>
    <s v="Kartuş"/>
    <n v="3"/>
    <s v="Tslm Edldi"/>
  </r>
  <r>
    <d v="2020-12-13T09:30:00"/>
    <s v="FE-00601"/>
    <s v="Feyza"/>
    <s v="Atbinici"/>
    <x v="5"/>
    <s v="Klavye"/>
    <n v="8"/>
    <s v="Tslm Edldi"/>
  </r>
  <r>
    <d v="2020-07-11T18:45:00"/>
    <s v="ÖZ-00602"/>
    <s v="Özlem"/>
    <s v="Doğan"/>
    <x v="7"/>
    <s v="Monitör"/>
    <n v="5"/>
    <s v="Paketlemede"/>
  </r>
  <r>
    <d v="2020-02-25T08:43:00"/>
    <s v="ER-00603"/>
    <s v="Ercan"/>
    <s v="Almacıoğlu"/>
    <x v="5"/>
    <s v="Drone"/>
    <n v="3"/>
    <s v="Tslm Edldi"/>
  </r>
  <r>
    <d v="2020-02-28T15:57:00"/>
    <s v="SE-00604"/>
    <s v="Serkan"/>
    <s v="Uyanık"/>
    <x v="2"/>
    <s v="Laptop"/>
    <n v="10"/>
    <s v="Tslm Edldi"/>
  </r>
  <r>
    <d v="2020-04-06T10:56:00"/>
    <s v="ÜN-00605"/>
    <s v="Ünsal"/>
    <s v="Alıcı"/>
    <x v="0"/>
    <s v="Drone"/>
    <n v="4"/>
    <s v="Tslm Edldi"/>
  </r>
  <r>
    <d v="2020-01-04T19:33:00"/>
    <s v="AY-00606"/>
    <s v="Ayşegül"/>
    <s v="Bozkurter"/>
    <x v="3"/>
    <s v="Laptop"/>
    <n v="6"/>
    <s v="Paketlemede"/>
  </r>
  <r>
    <d v="2020-07-09T12:48:00"/>
    <s v="HA-00607"/>
    <s v="Hayati"/>
    <s v="Kayacan"/>
    <x v="5"/>
    <s v="TV"/>
    <n v="8"/>
    <s v="Paketlemede"/>
  </r>
  <r>
    <d v="2020-03-02T17:57:00"/>
    <s v="FU-00608"/>
    <s v="Funda"/>
    <s v="Özlem Ayhan"/>
    <x v="1"/>
    <s v="Kulaklık"/>
    <n v="5"/>
    <s v="Tslm Edldi"/>
  </r>
  <r>
    <d v="2020-12-17T21:44:00"/>
    <s v="BU-00609"/>
    <s v="Burcu"/>
    <s v="Gündüz"/>
    <x v="7"/>
    <s v="Yazıcı"/>
    <n v="4"/>
    <s v="Tamamlandı"/>
  </r>
  <r>
    <d v="2020-01-10T22:58:00"/>
    <s v="TA-00610"/>
    <s v="Tarkan"/>
    <s v="Aksun"/>
    <x v="8"/>
    <s v="Webcam"/>
    <n v="5"/>
    <s v="Tamamlandı"/>
  </r>
  <r>
    <d v="2020-02-16T10:29:00"/>
    <s v="SU-00611"/>
    <s v="Suna"/>
    <s v="Yiğit"/>
    <x v="7"/>
    <s v="Kulaklık"/>
    <n v="8"/>
    <s v="Paketlemede"/>
  </r>
  <r>
    <d v="2020-06-08T19:39:00"/>
    <s v="YA-00612"/>
    <s v="Yavuz"/>
    <s v="Çekiç"/>
    <x v="5"/>
    <s v="Klavye"/>
    <n v="6"/>
    <s v="Tslm Edldi"/>
  </r>
  <r>
    <d v="2020-08-09T11:14:00"/>
    <s v="İL-00613"/>
    <s v="İlhan"/>
    <s v="Halhallı"/>
    <x v="4"/>
    <s v="TV"/>
    <n v="5"/>
    <s v="Tamamlandı"/>
  </r>
  <r>
    <d v="2020-11-12T08:17:00"/>
    <s v="İK-00614"/>
    <s v="İkram"/>
    <s v="Kılıç"/>
    <x v="3"/>
    <s v="Monitör"/>
    <n v="9"/>
    <s v="Tslm Edldi"/>
  </r>
  <r>
    <d v="2020-04-11T12:18:00"/>
    <s v="AY-00615"/>
    <s v="Ayşegül"/>
    <s v="Kalem"/>
    <x v="0"/>
    <s v="Mouse"/>
    <n v="3"/>
    <s v="Paketlemede"/>
  </r>
  <r>
    <d v="2020-05-08T14:08:00"/>
    <s v="SE-00616"/>
    <s v="Serkan"/>
    <s v="Fazlı Dede"/>
    <x v="2"/>
    <s v="Monitör"/>
    <n v="6"/>
    <s v="Tamamlandı"/>
  </r>
  <r>
    <d v="2020-01-09T12:32:00"/>
    <s v="ME-00617"/>
    <s v="Mehmet"/>
    <s v="Reşit Uzun"/>
    <x v="7"/>
    <s v="Laptop"/>
    <n v="5"/>
    <s v="Paketlemede"/>
  </r>
  <r>
    <d v="2020-10-26T13:55:00"/>
    <s v="AH-00618"/>
    <s v="Ahmet"/>
    <s v="Demirkol"/>
    <x v="1"/>
    <s v="Drone"/>
    <n v="3"/>
    <s v="Tslm Edldi"/>
  </r>
  <r>
    <d v="2020-09-26T18:42:00"/>
    <s v="RE-00619"/>
    <s v="Reyhan"/>
    <s v="İnci Kenar"/>
    <x v="0"/>
    <s v="Oyun Konsolu"/>
    <n v="10"/>
    <s v="Tslm Edldi"/>
  </r>
  <r>
    <d v="2020-11-19T16:50:00"/>
    <s v="BE-00620"/>
    <s v="Berçem"/>
    <s v="Atmış"/>
    <x v="0"/>
    <s v="Kulaklık"/>
    <n v="5"/>
    <s v="Tslm Edldi"/>
  </r>
  <r>
    <d v="2020-06-12T17:51:00"/>
    <s v="ÜL-00621"/>
    <s v="Ülkühan"/>
    <s v="Erol"/>
    <x v="1"/>
    <s v="Klavye"/>
    <n v="6"/>
    <s v="Paketlemede"/>
  </r>
  <r>
    <d v="2020-05-19T22:52:00"/>
    <s v="NU-00622"/>
    <s v="Nurcan"/>
    <s v="Kaba"/>
    <x v="1"/>
    <s v="Kulaklık"/>
    <n v="9"/>
    <s v="Paketlemede"/>
  </r>
  <r>
    <d v="2020-04-16T14:38:00"/>
    <s v="Nİ-00623"/>
    <s v="Nihat"/>
    <s v="Gök"/>
    <x v="6"/>
    <s v="TV"/>
    <n v="8"/>
    <s v="Tslm Edldi"/>
  </r>
  <r>
    <d v="2020-11-19T13:44:00"/>
    <s v="UF-00624"/>
    <s v="Ufuk"/>
    <s v="Işıkalan"/>
    <x v="3"/>
    <s v="Kartuş"/>
    <n v="6"/>
    <s v="Tslm Edldi"/>
  </r>
  <r>
    <d v="2020-03-01T11:39:00"/>
    <s v="YA-00625"/>
    <s v="Yasin"/>
    <s v="Özalp"/>
    <x v="0"/>
    <s v="Yazıcı"/>
    <n v="7"/>
    <s v="Tslm Edldi"/>
  </r>
  <r>
    <d v="2020-04-16T11:14:00"/>
    <s v="ŞÜ-00626"/>
    <s v="Şükrü"/>
    <s v="Buğrul"/>
    <x v="6"/>
    <s v="Hard Disk"/>
    <n v="9"/>
    <s v="Tslm Edldi"/>
  </r>
  <r>
    <d v="2020-10-14T13:44:00"/>
    <s v="TU-00627"/>
    <s v="Turgay"/>
    <s v="Yılmaz Şahin"/>
    <x v="6"/>
    <s v="Hard Disk"/>
    <n v="7"/>
    <s v="Kargoda"/>
  </r>
  <r>
    <d v="2020-11-09T17:47:00"/>
    <s v="KÜ-00628"/>
    <s v="Kübra"/>
    <s v="Kocabaş"/>
    <x v="6"/>
    <s v="Oyun Konsolu"/>
    <n v="9"/>
    <s v="Paketlemede"/>
  </r>
  <r>
    <d v="2020-01-27T19:48:00"/>
    <s v="DE-00629"/>
    <s v="Demet"/>
    <s v="Toktaş"/>
    <x v="4"/>
    <s v="Telefon"/>
    <n v="8"/>
    <s v="Tamamlandı"/>
  </r>
  <r>
    <d v="2020-04-05T19:13:00"/>
    <s v="ŞE-00630"/>
    <s v="Şeyma"/>
    <s v="Kebapcılar"/>
    <x v="6"/>
    <s v="Webcam"/>
    <n v="3"/>
    <s v="Paketlemede"/>
  </r>
  <r>
    <d v="2020-09-25T11:51:00"/>
    <s v="FA-00631"/>
    <s v="Fatma"/>
    <s v="Yıldız Altun"/>
    <x v="6"/>
    <s v="Telefon"/>
    <n v="10"/>
    <s v="Tslm Edldi"/>
  </r>
  <r>
    <d v="2020-09-11T09:49:00"/>
    <s v="Hİ-00632"/>
    <s v="Hicran"/>
    <s v="Ertürkler"/>
    <x v="2"/>
    <s v="Telefon"/>
    <n v="5"/>
    <s v="Tslm Edldi"/>
  </r>
  <r>
    <d v="2020-05-18T19:45:00"/>
    <s v="CA-00633"/>
    <s v="Cansu"/>
    <s v="Selcan Güzel"/>
    <x v="1"/>
    <s v="Drone"/>
    <n v="3"/>
    <s v="Tslm Edldi"/>
  </r>
  <r>
    <d v="2020-12-14T19:30:00"/>
    <s v="SU-00634"/>
    <s v="Suna"/>
    <s v="Çobanyıldızı"/>
    <x v="5"/>
    <s v="Kulaklık"/>
    <n v="4"/>
    <s v="Tamamlandı"/>
  </r>
  <r>
    <d v="2020-04-22T11:04:00"/>
    <s v="ES-00635"/>
    <s v="Esen"/>
    <s v="İbrahim Özen"/>
    <x v="1"/>
    <s v="TV"/>
    <n v="4"/>
    <s v="Tslm Edldi"/>
  </r>
  <r>
    <d v="2020-01-19T21:04:00"/>
    <s v="BE-00636"/>
    <s v="Berçem"/>
    <s v="Özkan"/>
    <x v="4"/>
    <s v="Webcam"/>
    <n v="5"/>
    <s v="Tslm Edldi"/>
  </r>
  <r>
    <d v="2020-08-20T17:25:00"/>
    <s v="Dİ-00637"/>
    <s v="Didem"/>
    <s v="Işık"/>
    <x v="2"/>
    <s v="Klavye"/>
    <n v="6"/>
    <s v="Tslm Edldi"/>
  </r>
  <r>
    <d v="2020-10-24T14:19:00"/>
    <s v="ŞA-00638"/>
    <s v="Şahabettin"/>
    <s v="Yeniçeri"/>
    <x v="6"/>
    <s v="Drone"/>
    <n v="5"/>
    <s v="Tamamlandı"/>
  </r>
  <r>
    <d v="2020-09-07T15:26:00"/>
    <s v="MU-00639"/>
    <s v="Mustafa"/>
    <s v="Özan Sanhal"/>
    <x v="5"/>
    <s v="Kartuş"/>
    <n v="8"/>
    <s v="Tslm Edldi"/>
  </r>
  <r>
    <d v="2020-08-25T18:15:00"/>
    <s v="SE-00640"/>
    <s v="Serdar"/>
    <s v="Ay Güney"/>
    <x v="2"/>
    <s v="Kamera"/>
    <n v="5"/>
    <s v="Tslm Edldi"/>
  </r>
  <r>
    <d v="2020-01-01T08:43:00"/>
    <s v="EM-00641"/>
    <s v="Emel"/>
    <s v="Gürdal"/>
    <x v="0"/>
    <s v="Webcam"/>
    <n v="3"/>
    <s v="Paketlemede"/>
  </r>
  <r>
    <d v="2020-07-28T09:35:00"/>
    <s v="AL-00642"/>
    <s v="Ali"/>
    <s v="Candan"/>
    <x v="7"/>
    <s v="TV"/>
    <n v="3"/>
    <s v="Tamamlandı"/>
  </r>
  <r>
    <d v="2020-10-27T21:16:00"/>
    <s v="HA-00643"/>
    <s v="Hasan"/>
    <s v="Değirmenci"/>
    <x v="3"/>
    <s v="Webcam"/>
    <n v="3"/>
    <s v="Tamamlandı"/>
  </r>
  <r>
    <d v="2020-03-24T15:34:00"/>
    <s v="TU-00644"/>
    <s v="Tuğba"/>
    <s v="Bozkurt"/>
    <x v="2"/>
    <s v="Hard Disk"/>
    <n v="9"/>
    <s v="Paketlemede"/>
  </r>
  <r>
    <d v="2020-10-08T20:57:00"/>
    <s v="ZA-00645"/>
    <s v="Zahide"/>
    <s v="Balcı"/>
    <x v="1"/>
    <s v="Monitör"/>
    <n v="8"/>
    <s v="Tslm Edldi"/>
  </r>
  <r>
    <d v="2020-07-11T12:53:00"/>
    <s v="FA-00646"/>
    <s v="Fatma"/>
    <s v="Çildir"/>
    <x v="7"/>
    <s v="Kartuş"/>
    <n v="4"/>
    <s v="Tslm Edldi"/>
  </r>
  <r>
    <d v="2020-12-19T11:50:00"/>
    <s v="AB-00647"/>
    <s v="Abdulkadir"/>
    <s v="Şahin"/>
    <x v="8"/>
    <s v="Oyun Konsolu"/>
    <n v="9"/>
    <s v="Kargoda"/>
  </r>
  <r>
    <d v="2020-03-11T19:19:00"/>
    <s v="FU-00648"/>
    <s v="Fulya"/>
    <s v="Toktaş"/>
    <x v="1"/>
    <s v="Drone"/>
    <n v="5"/>
    <s v="Tamamlandı"/>
  </r>
  <r>
    <d v="2020-12-04T21:47:00"/>
    <s v="BE-00649"/>
    <s v="Bengü"/>
    <s v="Kurt"/>
    <x v="8"/>
    <s v="Kulaklık"/>
    <n v="7"/>
    <s v="Tslm Edldi"/>
  </r>
  <r>
    <d v="2020-08-03T14:57:00"/>
    <s v="GÖ-00650"/>
    <s v="Gökay"/>
    <s v="Kadak"/>
    <x v="8"/>
    <s v="Drone"/>
    <n v="4"/>
    <s v="Tslm Edldi"/>
  </r>
  <r>
    <d v="2020-01-11T20:34:00"/>
    <s v="SU-00651"/>
    <s v="Sultan"/>
    <s v="Yalnız"/>
    <x v="2"/>
    <s v="Telefon"/>
    <n v="8"/>
    <s v="Tslm Edldi"/>
  </r>
  <r>
    <d v="2020-03-22T17:26:00"/>
    <s v="MU-00652"/>
    <s v="Mustafa"/>
    <s v="Korkmaz"/>
    <x v="0"/>
    <s v="Laptop"/>
    <n v="4"/>
    <s v="Tslm Edldi"/>
  </r>
  <r>
    <d v="2020-02-05T19:25:00"/>
    <s v="BA-00653"/>
    <s v="Bahadır"/>
    <s v="Korkmaz"/>
    <x v="0"/>
    <s v="Kartuş"/>
    <n v="5"/>
    <s v="Tslm Edldi"/>
  </r>
  <r>
    <d v="2020-05-27T10:33:00"/>
    <s v="ME-00654"/>
    <s v="Melia"/>
    <s v="Aluçlu"/>
    <x v="3"/>
    <s v="Oyun Konsolu"/>
    <n v="9"/>
    <s v="Tslm Edldi"/>
  </r>
  <r>
    <d v="2020-03-05T20:16:00"/>
    <s v="AD-00655"/>
    <s v="Adem"/>
    <s v="Akın"/>
    <x v="8"/>
    <s v="TV"/>
    <n v="3"/>
    <s v="Tslm Edldi"/>
  </r>
  <r>
    <d v="2020-07-28T08:09:00"/>
    <s v="MU-00656"/>
    <s v="Murat"/>
    <s v="Kaya"/>
    <x v="8"/>
    <s v="Monitör"/>
    <n v="3"/>
    <s v="Tamamlandı"/>
  </r>
  <r>
    <d v="2020-04-23T14:11:00"/>
    <s v="İH-00657"/>
    <s v="İhsan"/>
    <s v="Çobanoğlu"/>
    <x v="0"/>
    <s v="Telefon"/>
    <n v="6"/>
    <s v="Sipariş İptali"/>
  </r>
  <r>
    <d v="2020-03-08T14:48:00"/>
    <s v="ME-00658"/>
    <s v="Mesude"/>
    <s v="Demirtaş"/>
    <x v="7"/>
    <s v="Hard Disk"/>
    <n v="4"/>
    <s v="Paketlemede"/>
  </r>
  <r>
    <d v="2020-05-25T13:35:00"/>
    <s v="NE-00659"/>
    <s v="Neşe"/>
    <s v="Yalçınkaya"/>
    <x v="3"/>
    <s v="Oyun Konsolu"/>
    <n v="4"/>
    <s v="Tslm Edldi"/>
  </r>
  <r>
    <d v="2020-12-02T12:38:00"/>
    <s v="MU-00660"/>
    <s v="Muhammed"/>
    <s v="Taha Gündüz"/>
    <x v="3"/>
    <s v="Hard Disk"/>
    <n v="5"/>
    <s v="Tslm Edldi"/>
  </r>
  <r>
    <d v="2020-05-26T16:32:00"/>
    <s v="DE-00661"/>
    <s v="Deniz"/>
    <s v="Boduroğlu"/>
    <x v="0"/>
    <s v="Kulaklık"/>
    <n v="10"/>
    <s v="Paketlemede"/>
  </r>
  <r>
    <d v="2020-04-26T19:39:00"/>
    <s v="AD-00662"/>
    <s v="Adnan"/>
    <s v="Gözkaya"/>
    <x v="7"/>
    <s v="Hard Disk"/>
    <n v="9"/>
    <s v="Tslm Edldi"/>
  </r>
  <r>
    <d v="2020-01-20T20:08:00"/>
    <s v="EL-00663"/>
    <s v="Elif"/>
    <s v="Bakırcı"/>
    <x v="7"/>
    <s v="Mouse"/>
    <n v="8"/>
    <s v="Tslm Edldi"/>
  </r>
  <r>
    <d v="2020-09-06T20:27:00"/>
    <s v="AB-00664"/>
    <s v="Abdullah"/>
    <s v="Havas"/>
    <x v="1"/>
    <s v="Klavye"/>
    <n v="9"/>
    <s v="Tslm Edldi"/>
  </r>
  <r>
    <d v="2020-02-02T20:07:00"/>
    <s v="NE-00665"/>
    <s v="Nevroz"/>
    <s v="Candan"/>
    <x v="7"/>
    <s v="Kartuş"/>
    <n v="8"/>
    <s v="Tamamlandı"/>
  </r>
  <r>
    <d v="2020-07-13T11:35:00"/>
    <s v="BA-00666"/>
    <s v="Barış"/>
    <s v="Eker"/>
    <x v="1"/>
    <s v="Telefon"/>
    <n v="9"/>
    <s v="Paketlemede"/>
  </r>
  <r>
    <d v="2020-02-12T14:40:00"/>
    <s v="ZE-00667"/>
    <s v="Zeki"/>
    <s v="Acar"/>
    <x v="1"/>
    <s v="Klavye"/>
    <n v="8"/>
    <s v="Tslm Edldi"/>
  </r>
  <r>
    <d v="2020-06-21T09:49:00"/>
    <s v="EB-00668"/>
    <s v="Ebru"/>
    <s v="Sözen"/>
    <x v="3"/>
    <s v="Hard Disk"/>
    <n v="9"/>
    <s v="Tslm Edldi"/>
  </r>
  <r>
    <d v="2020-11-08T12:54:00"/>
    <s v="ER-00669"/>
    <s v="Erkan"/>
    <s v="Akpınar"/>
    <x v="5"/>
    <s v="Telefon"/>
    <n v="9"/>
    <s v="Tamamlandı"/>
  </r>
  <r>
    <d v="2020-03-19T17:59:00"/>
    <s v="VE-00670"/>
    <s v="Veysel"/>
    <s v="Öğütmen Koç"/>
    <x v="1"/>
    <s v="Kamera"/>
    <n v="5"/>
    <s v="Tamamlandı"/>
  </r>
  <r>
    <d v="2020-04-20T11:37:00"/>
    <s v="ZE-00671"/>
    <s v="Zehra"/>
    <s v="Kaya"/>
    <x v="0"/>
    <s v="Mouse"/>
    <n v="7"/>
    <s v="Tamamlandı"/>
  </r>
  <r>
    <d v="2020-04-24T12:26:00"/>
    <s v="MA-00672"/>
    <s v="Mahmut"/>
    <s v="Nuri Erden"/>
    <x v="3"/>
    <s v="Monitör"/>
    <n v="3"/>
    <s v="Tslm Edldi"/>
  </r>
  <r>
    <d v="2020-08-14T13:21:00"/>
    <s v="MÜ-00673"/>
    <s v="Münever"/>
    <s v="Şatır Ertem"/>
    <x v="4"/>
    <s v="Oyun Konsolu"/>
    <n v="10"/>
    <s v="Paketlemede"/>
  </r>
  <r>
    <d v="2020-09-05T17:22:00"/>
    <s v="KÜ-00674"/>
    <s v="Kübra"/>
    <s v="Babacan"/>
    <x v="3"/>
    <s v="Drone"/>
    <n v="7"/>
    <s v="Tslm Edldi"/>
  </r>
  <r>
    <d v="2020-05-16T11:52:00"/>
    <s v="EY-00675"/>
    <s v="Eyyup"/>
    <s v="Sabri Ten"/>
    <x v="3"/>
    <s v="Drone"/>
    <n v="8"/>
    <s v="Tamamlandı"/>
  </r>
  <r>
    <d v="2020-02-25T12:18:00"/>
    <s v="SA-00676"/>
    <s v="Salih"/>
    <s v="Akyol"/>
    <x v="7"/>
    <s v="Monitör"/>
    <n v="9"/>
    <s v="Tslm Edldi"/>
  </r>
  <r>
    <d v="2020-01-25T19:54:00"/>
    <s v="EL-00677"/>
    <s v="Elif"/>
    <s v="Yegen Yılmaz"/>
    <x v="4"/>
    <s v="Mouse"/>
    <n v="4"/>
    <s v="Tslm Edldi"/>
  </r>
  <r>
    <d v="2020-10-17T11:03:00"/>
    <s v="SÜ-00678"/>
    <s v="Süreyya"/>
    <s v="Kütük"/>
    <x v="1"/>
    <s v="Kartuş"/>
    <n v="8"/>
    <s v="Tslm Edldi"/>
  </r>
  <r>
    <d v="2020-09-19T08:14:00"/>
    <s v="İS-00679"/>
    <s v="İsmail"/>
    <s v="Zorlu Karayiğit"/>
    <x v="1"/>
    <s v="Monitör"/>
    <n v="5"/>
    <s v="Tslm Edldi"/>
  </r>
  <r>
    <d v="2020-03-25T08:37:00"/>
    <s v="TA-00680"/>
    <s v="Taner"/>
    <s v="Yiğit"/>
    <x v="2"/>
    <s v="Kamera"/>
    <n v="3"/>
    <s v="Tamamlandı"/>
  </r>
  <r>
    <d v="2020-07-23T22:25:00"/>
    <s v="EV-00681"/>
    <s v="Evre"/>
    <s v="Tola"/>
    <x v="4"/>
    <s v="Oyun Konsolu"/>
    <n v="6"/>
    <s v="Tslm Edldi"/>
  </r>
  <r>
    <d v="2020-06-15T16:14:00"/>
    <s v="AY-00682"/>
    <s v="Ayşegül"/>
    <s v="Destegül"/>
    <x v="3"/>
    <s v="Klavye"/>
    <n v="8"/>
    <s v="Tslm Edldi"/>
  </r>
  <r>
    <d v="2020-08-28T08:30:00"/>
    <s v="ON-00683"/>
    <s v="Onur"/>
    <s v="Kadir Akın"/>
    <x v="5"/>
    <s v="Kamera"/>
    <n v="10"/>
    <s v="Tslm Edldi"/>
  </r>
  <r>
    <d v="2020-07-24T09:25:00"/>
    <s v="YA-00684"/>
    <s v="Yahya"/>
    <s v="Kılıç"/>
    <x v="0"/>
    <s v="Oyun Konsolu"/>
    <n v="10"/>
    <s v="Tamamlandı"/>
  </r>
  <r>
    <d v="2020-12-27T10:52:00"/>
    <s v="SE-00685"/>
    <s v="Seher"/>
    <s v="Özlem Önal Musalar"/>
    <x v="0"/>
    <s v="Klavye"/>
    <n v="3"/>
    <s v="Tslm Edldi"/>
  </r>
  <r>
    <d v="2020-12-10T13:30:00"/>
    <s v="ES-00686"/>
    <s v="Esra"/>
    <s v="Nur Köylü"/>
    <x v="4"/>
    <s v="Monitör"/>
    <n v="5"/>
    <s v="Paketlemede"/>
  </r>
  <r>
    <d v="2020-02-04T13:16:00"/>
    <s v="ER-00687"/>
    <s v="Erol"/>
    <s v="Suluova"/>
    <x v="5"/>
    <s v="Kamera"/>
    <n v="5"/>
    <s v="Tslm Edldi"/>
  </r>
  <r>
    <d v="2020-12-16T22:54:00"/>
    <s v="AL-00688"/>
    <s v="Ali"/>
    <s v="Haluk Topal"/>
    <x v="2"/>
    <s v="Monitör"/>
    <n v="5"/>
    <s v="Tslm Edldi"/>
  </r>
  <r>
    <d v="2020-05-27T17:14:00"/>
    <s v="CE-00689"/>
    <s v="Cemile"/>
    <s v="Ayşe Kılıç"/>
    <x v="2"/>
    <s v="Laptop"/>
    <n v="3"/>
    <s v="Tslm Edldi"/>
  </r>
  <r>
    <d v="2020-09-24T10:23:00"/>
    <s v="EB-00690"/>
    <s v="Ebru"/>
    <s v="Güler"/>
    <x v="8"/>
    <s v="Drone"/>
    <n v="6"/>
    <s v="Tslm Edldi"/>
  </r>
  <r>
    <d v="2020-11-16T20:15:00"/>
    <s v="TÜ-00691"/>
    <s v="Tülay"/>
    <s v="Tuncel"/>
    <x v="1"/>
    <s v="Laptop"/>
    <n v="5"/>
    <s v="Paketlemede"/>
  </r>
  <r>
    <d v="2020-10-21T08:16:00"/>
    <s v="BU-00692"/>
    <s v="Burhan"/>
    <s v="Çay"/>
    <x v="1"/>
    <s v="Kartuş"/>
    <n v="6"/>
    <s v="Tslm Edldi"/>
  </r>
  <r>
    <d v="2020-05-26T11:18:00"/>
    <s v="SE-00693"/>
    <s v="Serhat"/>
    <s v="Arslan"/>
    <x v="8"/>
    <s v="Monitör"/>
    <n v="4"/>
    <s v="Paketlemede"/>
  </r>
  <r>
    <d v="2020-08-06T13:53:00"/>
    <s v="BÜ-00694"/>
    <s v="Bünyamin"/>
    <s v="Kuşku"/>
    <x v="3"/>
    <s v="Laptop"/>
    <n v="3"/>
    <s v="Tslm Edldi"/>
  </r>
  <r>
    <d v="2020-07-07T12:26:00"/>
    <s v="SE-00695"/>
    <s v="Serkan"/>
    <s v="Güler"/>
    <x v="5"/>
    <s v="Mouse"/>
    <n v="9"/>
    <s v="Tslm Edldi"/>
  </r>
  <r>
    <d v="2020-03-01T19:47:00"/>
    <s v="Tİ-00696"/>
    <s v="Timur"/>
    <s v="Berekatoğlu"/>
    <x v="4"/>
    <s v="Klavye"/>
    <n v="7"/>
    <s v="Tamamlandı"/>
  </r>
  <r>
    <d v="2020-03-04T15:13:00"/>
    <s v="AH-00697"/>
    <s v="Ahmet"/>
    <s v="İmamoğlu"/>
    <x v="0"/>
    <s v="Monitör"/>
    <n v="6"/>
    <s v="Sipariş İptali"/>
  </r>
  <r>
    <d v="2020-01-03T16:05:00"/>
    <s v="ME-00698"/>
    <s v="Merih"/>
    <s v="Karakan"/>
    <x v="8"/>
    <s v="Klavye"/>
    <n v="3"/>
    <s v="Paketlemede"/>
  </r>
  <r>
    <d v="2020-05-17T19:29:00"/>
    <s v="ÖZ-00699"/>
    <s v="Özlem"/>
    <s v="Durç Öztürk"/>
    <x v="4"/>
    <s v="Kulaklık"/>
    <n v="6"/>
    <s v="Tslm Edldi"/>
  </r>
  <r>
    <d v="2020-07-27T22:58:00"/>
    <s v="AL-00700"/>
    <s v="Ali"/>
    <s v="Celiloğlu"/>
    <x v="6"/>
    <s v="Yazıcı"/>
    <n v="8"/>
    <s v="Paketlemede"/>
  </r>
  <r>
    <d v="2020-04-27T08:32:00"/>
    <s v="RE-00701"/>
    <s v="Refik"/>
    <s v="Öztürk"/>
    <x v="3"/>
    <s v="Laptop"/>
    <n v="3"/>
    <s v="Tamamlandı"/>
  </r>
  <r>
    <d v="2020-12-27T22:21:00"/>
    <s v="EL-00702"/>
    <s v="Ela"/>
    <s v="Altuntaş"/>
    <x v="4"/>
    <s v="Yazıcı"/>
    <n v="8"/>
    <s v="Tslm Edldi"/>
  </r>
  <r>
    <d v="2020-04-19T14:53:00"/>
    <s v="ER-00703"/>
    <s v="Erkan"/>
    <s v="Karamanlı"/>
    <x v="4"/>
    <s v="Webcam"/>
    <n v="5"/>
    <s v="Tslm Edldi"/>
  </r>
  <r>
    <d v="2020-06-12T13:46:00"/>
    <s v="AS-00704"/>
    <s v="Asudan"/>
    <s v="Tuğçe Akyol"/>
    <x v="7"/>
    <s v="Telefon"/>
    <n v="4"/>
    <s v="Paketlemede"/>
  </r>
  <r>
    <d v="2020-01-07T14:40:00"/>
    <s v="YA-00705"/>
    <s v="Yaşar"/>
    <s v="Gökhan Hatipoğlu"/>
    <x v="5"/>
    <s v="Mouse"/>
    <n v="9"/>
    <s v="Tslm Edldi"/>
  </r>
  <r>
    <d v="2020-01-15T08:23:00"/>
    <s v="ES-00706"/>
    <s v="Esra"/>
    <s v="Mutlu"/>
    <x v="6"/>
    <s v="Kulaklık"/>
    <n v="5"/>
    <s v="Tamamlandı"/>
  </r>
  <r>
    <d v="2020-08-06T13:50:00"/>
    <s v="ER-00707"/>
    <s v="Erkan"/>
    <s v="Karademir"/>
    <x v="4"/>
    <s v="Webcam"/>
    <n v="9"/>
    <s v="Tslm Edldi"/>
  </r>
  <r>
    <d v="2020-02-28T13:38:00"/>
    <s v="KÜ-00708"/>
    <s v="Kürşat"/>
    <s v="Özavcı Aygün"/>
    <x v="0"/>
    <s v="Oyun Konsolu"/>
    <n v="9"/>
    <s v="Tslm Edldi"/>
  </r>
  <r>
    <d v="2020-07-12T18:57:00"/>
    <s v="EF-00709"/>
    <s v="Eftal"/>
    <s v="Murat Karakurt"/>
    <x v="7"/>
    <s v="Hard Disk"/>
    <n v="6"/>
    <s v="Tslm Edldi"/>
  </r>
  <r>
    <d v="2020-03-05T19:57:00"/>
    <s v="ME-00710"/>
    <s v="Melda"/>
    <s v="Uyanık"/>
    <x v="3"/>
    <s v="Laptop"/>
    <n v="10"/>
    <s v="Tamamlandı"/>
  </r>
  <r>
    <d v="2020-12-02T18:36:00"/>
    <s v="GO-00711"/>
    <s v="Gonca"/>
    <s v="Cömert"/>
    <x v="4"/>
    <s v="Telefon"/>
    <n v="8"/>
    <s v="Tamamlandı"/>
  </r>
  <r>
    <d v="2020-06-01T11:50:00"/>
    <s v="KE-00712"/>
    <s v="Kezban"/>
    <s v="Öcal"/>
    <x v="6"/>
    <s v="TV"/>
    <n v="7"/>
    <s v="Tslm Edldi"/>
  </r>
  <r>
    <d v="2020-03-11T18:12:00"/>
    <s v="TU-00713"/>
    <s v="Tuğba"/>
    <s v="Özekli Mısırlıoğlu"/>
    <x v="5"/>
    <s v="TV"/>
    <n v="8"/>
    <s v="Tslm Edldi"/>
  </r>
  <r>
    <d v="2020-12-12T18:55:00"/>
    <s v="ER-00714"/>
    <s v="Erkan"/>
    <s v="Kırış"/>
    <x v="8"/>
    <s v="TV"/>
    <n v="5"/>
    <s v="Tslm Edldi"/>
  </r>
  <r>
    <d v="2020-04-24T12:36:00"/>
    <s v="TÜ-00715"/>
    <s v="Tülay"/>
    <s v="Vatansever"/>
    <x v="2"/>
    <s v="TV"/>
    <n v="6"/>
    <s v="Paketlemede"/>
  </r>
  <r>
    <d v="2020-10-05T09:00:00"/>
    <s v="AY-00716"/>
    <s v="Aydemir"/>
    <s v="Eken"/>
    <x v="0"/>
    <s v="Drone"/>
    <n v="3"/>
    <s v="Tamamlandı"/>
  </r>
  <r>
    <d v="2020-09-26T14:11:00"/>
    <s v="AH-00717"/>
    <s v="Ahmet"/>
    <s v="Gökhan Karakaya"/>
    <x v="7"/>
    <s v="Telefon"/>
    <n v="3"/>
    <s v="Tamamlandı"/>
  </r>
  <r>
    <d v="2020-12-10T20:15:00"/>
    <s v="SE-00718"/>
    <s v="Serkan"/>
    <s v="Erdoğan"/>
    <x v="1"/>
    <s v="Drone"/>
    <n v="7"/>
    <s v="Tslm Edldi"/>
  </r>
  <r>
    <d v="2020-03-23T11:06:00"/>
    <s v="SE-00719"/>
    <s v="Serkan"/>
    <s v="Alpaycı"/>
    <x v="6"/>
    <s v="Klavye"/>
    <n v="5"/>
    <s v="Tamamlandı"/>
  </r>
  <r>
    <d v="2020-04-06T13:38:00"/>
    <s v="YA-00720"/>
    <s v="Yavuz"/>
    <s v="Beder"/>
    <x v="0"/>
    <s v="Kulaklık"/>
    <n v="3"/>
    <s v="Tslm Edldi"/>
  </r>
  <r>
    <d v="2020-12-13T14:18:00"/>
    <s v="MU-00721"/>
    <s v="Muhammet"/>
    <s v="Devran Öğütmen Koç"/>
    <x v="5"/>
    <s v="Yazıcı"/>
    <n v="5"/>
    <s v="Paketlemede"/>
  </r>
  <r>
    <d v="2020-01-07T13:14:00"/>
    <s v="AD-00722"/>
    <s v="Adem"/>
    <s v="Batgi Azarkan"/>
    <x v="0"/>
    <s v="Webcam"/>
    <n v="5"/>
    <s v="Tslm Edldi"/>
  </r>
  <r>
    <d v="2020-03-27T20:20:00"/>
    <s v="FA-00723"/>
    <s v="Fatih"/>
    <s v="Ünal"/>
    <x v="7"/>
    <s v="Kartuş"/>
    <n v="9"/>
    <s v="Tslm Edldi"/>
  </r>
  <r>
    <d v="2020-12-06T18:08:00"/>
    <s v="ŞE-00724"/>
    <s v="Şeyma"/>
    <s v="Bal"/>
    <x v="6"/>
    <s v="Yazıcı"/>
    <n v="9"/>
    <s v="Paketlemede"/>
  </r>
  <r>
    <d v="2020-11-01T09:20:00"/>
    <s v="EN-00725"/>
    <s v="Enver"/>
    <s v="Kabil Kucur"/>
    <x v="8"/>
    <s v="Telefon"/>
    <n v="7"/>
    <s v="Tslm Edldi"/>
  </r>
  <r>
    <d v="2020-08-08T21:06:00"/>
    <s v="KE-00726"/>
    <s v="Kerim"/>
    <s v="Doğan"/>
    <x v="2"/>
    <s v="Webcam"/>
    <n v="10"/>
    <s v="Tslm Edldi"/>
  </r>
  <r>
    <d v="2020-09-10T22:02:00"/>
    <s v="FA-00727"/>
    <s v="Fatma"/>
    <s v="Selcen Ulutaş"/>
    <x v="1"/>
    <s v="Oyun Konsolu"/>
    <n v="10"/>
    <s v="Tslm Edldi"/>
  </r>
  <r>
    <d v="2020-10-02T12:47:00"/>
    <s v="NU-00728"/>
    <s v="Nuray"/>
    <s v="Müftüoğlu"/>
    <x v="1"/>
    <s v="Hard Disk"/>
    <n v="4"/>
    <s v="Tslm Edldi"/>
  </r>
  <r>
    <d v="2020-09-16T16:53:00"/>
    <s v="NU-00729"/>
    <s v="Nurettin"/>
    <s v="Ünsal"/>
    <x v="0"/>
    <s v="Oyun Konsolu"/>
    <n v="7"/>
    <s v="Paketlemede"/>
  </r>
  <r>
    <d v="2020-08-15T16:36:00"/>
    <s v="HA-00730"/>
    <s v="Haluk"/>
    <s v="Baysoy"/>
    <x v="0"/>
    <s v="Webcam"/>
    <n v="7"/>
    <s v="Tslm Edldi"/>
  </r>
  <r>
    <d v="2020-03-15T20:43:00"/>
    <s v="EL-00731"/>
    <s v="Elif"/>
    <s v="Eker"/>
    <x v="0"/>
    <s v="Kartuş"/>
    <n v="4"/>
    <s v="Tslm Edldi"/>
  </r>
  <r>
    <d v="2020-11-02T11:09:00"/>
    <s v="ÜM-00732"/>
    <s v="Ümit"/>
    <s v="Yurdam"/>
    <x v="1"/>
    <s v="Webcam"/>
    <n v="10"/>
    <s v="Tslm Edldi"/>
  </r>
  <r>
    <d v="2020-07-03T15:59:00"/>
    <s v="YE-00733"/>
    <s v="Yener"/>
    <s v="Öğütmen Koç"/>
    <x v="8"/>
    <s v="Kulaklık"/>
    <n v="4"/>
    <s v="Tslm Edldi"/>
  </r>
  <r>
    <d v="2020-01-23T21:50:00"/>
    <s v="İL-00734"/>
    <s v="İlker"/>
    <s v="Gülen"/>
    <x v="3"/>
    <s v="Mouse"/>
    <n v="6"/>
    <s v="Paketlemede"/>
  </r>
  <r>
    <d v="2020-03-19T09:52:00"/>
    <s v="YÜ-00735"/>
    <s v="Yücel"/>
    <s v="Özkurt"/>
    <x v="8"/>
    <s v="Telefon"/>
    <n v="10"/>
    <s v="Kargoda"/>
  </r>
  <r>
    <d v="2020-04-27T11:31:00"/>
    <s v="ER-00736"/>
    <s v="Ersagun"/>
    <s v="Şengül"/>
    <x v="5"/>
    <s v="Yazıcı"/>
    <n v="7"/>
    <s v="Tamamlandı"/>
  </r>
  <r>
    <d v="2020-10-07T17:55:00"/>
    <s v="SE-00737"/>
    <s v="Serkan"/>
    <s v="Doğan"/>
    <x v="8"/>
    <s v="Kartuş"/>
    <n v="7"/>
    <s v="Tamamlandı"/>
  </r>
  <r>
    <d v="2020-07-26T17:14:00"/>
    <s v="SE-00738"/>
    <s v="Semine"/>
    <s v="Demir"/>
    <x v="1"/>
    <s v="Hard Disk"/>
    <n v="6"/>
    <s v="Paketlemede"/>
  </r>
  <r>
    <d v="2020-02-27T21:04:00"/>
    <s v="PI-00739"/>
    <s v="Pınar"/>
    <s v="Menteş"/>
    <x v="7"/>
    <s v="Kulaklık"/>
    <n v="9"/>
    <s v="Paketlemede"/>
  </r>
  <r>
    <d v="2020-06-01T14:37:00"/>
    <s v="DE-00740"/>
    <s v="Deniz"/>
    <s v="Havas"/>
    <x v="8"/>
    <s v="Kulaklık"/>
    <n v="7"/>
    <s v="Tslm Edldi"/>
  </r>
  <r>
    <d v="2020-02-06T20:23:00"/>
    <s v="ED-00741"/>
    <s v="Eda"/>
    <s v="Çimen"/>
    <x v="1"/>
    <s v="Oyun Konsolu"/>
    <n v="3"/>
    <s v="Tslm Edldi"/>
  </r>
  <r>
    <d v="2020-05-05T16:05:00"/>
    <s v="ÖM-00742"/>
    <s v="Ömer"/>
    <s v="Faruk Yılmaz"/>
    <x v="1"/>
    <s v="Drone"/>
    <n v="10"/>
    <s v="Tslm Edldi"/>
  </r>
  <r>
    <d v="2020-03-12T11:13:00"/>
    <s v="ÖZ-00743"/>
    <s v="Özgür"/>
    <s v="Dede"/>
    <x v="1"/>
    <s v="Mouse"/>
    <n v="4"/>
    <s v="Tslm Edldi"/>
  </r>
  <r>
    <d v="2020-05-12T12:24:00"/>
    <s v="YU-00744"/>
    <s v="Yusuf"/>
    <s v="Özmen"/>
    <x v="0"/>
    <s v="Drone"/>
    <n v="9"/>
    <s v="Tslm Edldi"/>
  </r>
  <r>
    <d v="2020-07-07T14:11:00"/>
    <s v="BU-00745"/>
    <s v="Burcu"/>
    <s v="Tanrıverdi Yılmaz"/>
    <x v="2"/>
    <s v="Hard Disk"/>
    <n v="7"/>
    <s v="Tslm Edldi"/>
  </r>
  <r>
    <d v="2020-03-06T17:47:00"/>
    <s v="ÖZ-00746"/>
    <s v="Özlem"/>
    <s v="Babuş"/>
    <x v="0"/>
    <s v="Klavye"/>
    <n v="4"/>
    <s v="Tslm Edldi"/>
  </r>
  <r>
    <d v="2020-12-22T13:04:00"/>
    <s v="YU-00747"/>
    <s v="Yusuf"/>
    <s v="Ünal"/>
    <x v="3"/>
    <s v="Kamera"/>
    <n v="9"/>
    <s v="Tslm Edldi"/>
  </r>
  <r>
    <d v="2020-10-21T22:00:00"/>
    <s v="HÜ-00748"/>
    <s v="Hüseyin"/>
    <s v="Kunter Karasu"/>
    <x v="3"/>
    <s v="Kamera"/>
    <n v="8"/>
    <s v="Tslm Edldi"/>
  </r>
  <r>
    <d v="2020-09-20T22:50:00"/>
    <s v="ŞA-00749"/>
    <s v="Şahabettin"/>
    <s v="Karakoyun"/>
    <x v="5"/>
    <s v="Webcam"/>
    <n v="5"/>
    <s v="Tslm Edldi"/>
  </r>
  <r>
    <d v="2020-02-10T19:35:00"/>
    <s v="ES-00750"/>
    <s v="Esra"/>
    <s v="Güngör"/>
    <x v="6"/>
    <s v="Klavye"/>
    <n v="5"/>
    <s v="Sipariş İptali"/>
  </r>
  <r>
    <d v="2020-07-26T15:44:00"/>
    <s v="ME-00751"/>
    <s v="Mehtap"/>
    <s v="Saraç"/>
    <x v="2"/>
    <s v="Monitör"/>
    <n v="8"/>
    <s v="Tslm Edldi"/>
  </r>
  <r>
    <d v="2020-05-02T13:02:00"/>
    <s v="KI-00752"/>
    <s v="Kıvanç"/>
    <s v="Akar"/>
    <x v="8"/>
    <s v="Yazıcı"/>
    <n v="3"/>
    <s v="Tslm Edldi"/>
  </r>
  <r>
    <d v="2020-04-02T15:00:00"/>
    <s v="ÖZ-00753"/>
    <s v="Özgür"/>
    <s v="Öziş"/>
    <x v="7"/>
    <s v="Hard Disk"/>
    <n v="8"/>
    <s v="Tamamlandı"/>
  </r>
  <r>
    <d v="2020-09-27T18:07:00"/>
    <s v="UM-00754"/>
    <s v="Umut"/>
    <s v="Can Sevingil"/>
    <x v="3"/>
    <s v="Kartuş"/>
    <n v="4"/>
    <s v="Tslm Edldi"/>
  </r>
  <r>
    <d v="2020-09-24T17:46:00"/>
    <s v="SE-00755"/>
    <s v="Sezgin"/>
    <s v="Yacı"/>
    <x v="7"/>
    <s v="Yazıcı"/>
    <n v="6"/>
    <s v="Tamamlandı"/>
  </r>
  <r>
    <d v="2020-03-25T11:57:00"/>
    <s v="SE-00756"/>
    <s v="Serkan"/>
    <s v="Bulakçı"/>
    <x v="6"/>
    <s v="Monitör"/>
    <n v="4"/>
    <s v="Tslm Edldi"/>
  </r>
  <r>
    <d v="2020-02-07T15:40:00"/>
    <s v="BU-00757"/>
    <s v="Burcu"/>
    <s v="Çiçekbilek"/>
    <x v="8"/>
    <s v="Monitör"/>
    <n v="7"/>
    <s v="Tamamlandı"/>
  </r>
  <r>
    <d v="2020-09-21T15:47:00"/>
    <s v="ZE-00758"/>
    <s v="Zerrin"/>
    <s v="Tay"/>
    <x v="6"/>
    <s v="Yazıcı"/>
    <n v="10"/>
    <s v="Tslm Edldi"/>
  </r>
  <r>
    <d v="2020-02-15T13:55:00"/>
    <s v="NA-00759"/>
    <s v="Nazım"/>
    <s v="Uzun"/>
    <x v="8"/>
    <s v="Oyun Konsolu"/>
    <n v="6"/>
    <s v="Tslm Edldi"/>
  </r>
  <r>
    <d v="2020-09-10T21:14:00"/>
    <s v="AY-00760"/>
    <s v="Ayşe"/>
    <s v="Gül Tarkan"/>
    <x v="1"/>
    <s v="Monitör"/>
    <n v="10"/>
    <s v="Tslm Edldi"/>
  </r>
  <r>
    <d v="2020-12-22T19:59:00"/>
    <s v="MU-00761"/>
    <s v="Muhammet"/>
    <s v="Devran Topkara"/>
    <x v="3"/>
    <s v="Drone"/>
    <n v="7"/>
    <s v="Tslm Edldi"/>
  </r>
  <r>
    <d v="2020-07-14T11:02:00"/>
    <s v="SU-00762"/>
    <s v="Sultan"/>
    <s v="Savran"/>
    <x v="1"/>
    <s v="Telefon"/>
    <n v="6"/>
    <s v="Tslm Edldi"/>
  </r>
  <r>
    <d v="2020-06-15T10:18:00"/>
    <s v="ME-00763"/>
    <s v="Melike"/>
    <s v="Şahin"/>
    <x v="2"/>
    <s v="Klavye"/>
    <n v="7"/>
    <s v="Tslm Edldi"/>
  </r>
  <r>
    <d v="2020-02-17T21:26:00"/>
    <s v="AH-00764"/>
    <s v="Ahmet"/>
    <s v="Tüten"/>
    <x v="6"/>
    <s v="Kamera"/>
    <n v="6"/>
    <s v="Paketlemede"/>
  </r>
  <r>
    <d v="2020-01-19T12:49:00"/>
    <s v="OR-00765"/>
    <s v="Orhan"/>
    <s v="Şahin Duyar"/>
    <x v="6"/>
    <s v="Webcam"/>
    <n v="3"/>
    <s v="Tamamlandı"/>
  </r>
  <r>
    <d v="2020-10-18T09:19:00"/>
    <s v="FA-00766"/>
    <s v="Fadıl"/>
    <s v="Oğuz"/>
    <x v="8"/>
    <s v="Kulaklık"/>
    <n v="9"/>
    <s v="Paketlemede"/>
  </r>
  <r>
    <d v="2020-11-10T16:19:00"/>
    <s v="İP-00767"/>
    <s v="İpek"/>
    <s v="Öztürkeri"/>
    <x v="8"/>
    <s v="Kartuş"/>
    <n v="4"/>
    <s v="Tslm Edldi"/>
  </r>
  <r>
    <d v="2020-12-10T15:03:00"/>
    <s v="DE-00768"/>
    <s v="Demet"/>
    <s v="Işık"/>
    <x v="2"/>
    <s v="Monitör"/>
    <n v="9"/>
    <s v="Tslm Edldi"/>
  </r>
  <r>
    <d v="2020-03-14T10:34:00"/>
    <s v="İR-00769"/>
    <s v="İrem"/>
    <s v="Metineren"/>
    <x v="6"/>
    <s v="Oyun Konsolu"/>
    <n v="6"/>
    <s v="Tamamlandı"/>
  </r>
  <r>
    <d v="2020-11-03T21:51:00"/>
    <s v="ME-00770"/>
    <s v="Mehmet"/>
    <s v="Sadi Aykan"/>
    <x v="5"/>
    <s v="TV"/>
    <n v="7"/>
    <s v="Tamamlandı"/>
  </r>
  <r>
    <d v="2020-07-28T19:44:00"/>
    <s v="Fİ-00771"/>
    <s v="Filiz"/>
    <s v="Şatıroğlu"/>
    <x v="3"/>
    <s v="Mouse"/>
    <n v="8"/>
    <s v="Tslm Edldi"/>
  </r>
  <r>
    <d v="2020-08-23T11:30:00"/>
    <s v="BE-00772"/>
    <s v="Belma"/>
    <s v="Köksoy"/>
    <x v="6"/>
    <s v="Hard Disk"/>
    <n v="10"/>
    <s v="Tslm Edldi"/>
  </r>
  <r>
    <d v="2020-11-27T18:24:00"/>
    <s v="KE-00773"/>
    <s v="Kenan"/>
    <s v="Ahmet Menteş"/>
    <x v="1"/>
    <s v="Kartuş"/>
    <n v="5"/>
    <s v="Sipariş İptali"/>
  </r>
  <r>
    <d v="2020-11-09T14:05:00"/>
    <s v="SU-00774"/>
    <s v="Sultan"/>
    <s v="Şatıroğlu"/>
    <x v="8"/>
    <s v="Kartuş"/>
    <n v="10"/>
    <s v="Tslm Edldi"/>
  </r>
  <r>
    <d v="2020-03-27T19:59:00"/>
    <s v="ME-00775"/>
    <s v="Mehmet"/>
    <s v="Özen"/>
    <x v="6"/>
    <s v="Yazıcı"/>
    <n v="10"/>
    <s v="Tslm Edldi"/>
  </r>
  <r>
    <d v="2020-09-23T13:36:00"/>
    <s v="YA-00776"/>
    <s v="Yasemin"/>
    <s v="Kızmazoğlu"/>
    <x v="8"/>
    <s v="Kulaklık"/>
    <n v="10"/>
    <s v="Tslm Edldi"/>
  </r>
  <r>
    <d v="2020-05-26T19:16:00"/>
    <s v="NE-00777"/>
    <s v="Nevriye"/>
    <s v="Duysak"/>
    <x v="7"/>
    <s v="Monitör"/>
    <n v="10"/>
    <s v="Tamamlandı"/>
  </r>
  <r>
    <d v="2020-10-23T14:14:00"/>
    <s v="Nİ-00778"/>
    <s v="Nilay"/>
    <s v="Ballı"/>
    <x v="5"/>
    <s v="TV"/>
    <n v="4"/>
    <s v="Tslm Edldi"/>
  </r>
  <r>
    <d v="2020-11-09T14:27:00"/>
    <s v="ŞE-00779"/>
    <s v="Şenay"/>
    <s v="Akın"/>
    <x v="4"/>
    <s v="Kartuş"/>
    <n v="7"/>
    <s v="Tamamlandı"/>
  </r>
  <r>
    <d v="2020-05-08T18:01:00"/>
    <s v="TA-00780"/>
    <s v="Tayfur"/>
    <s v="Akdemir"/>
    <x v="8"/>
    <s v="Drone"/>
    <n v="5"/>
    <s v="Tslm Edldi"/>
  </r>
  <r>
    <d v="2020-01-26T21:42:00"/>
    <s v="SE-00781"/>
    <s v="Serdal"/>
    <s v="Kocabaş"/>
    <x v="2"/>
    <s v="Hard Disk"/>
    <n v="10"/>
    <s v="Tslm Edldi"/>
  </r>
  <r>
    <d v="2020-02-02T20:16:00"/>
    <s v="ME-00782"/>
    <s v="Mehmet"/>
    <s v="Hüseyin Ardıç"/>
    <x v="3"/>
    <s v="Drone"/>
    <n v="6"/>
    <s v="Tamamlandı"/>
  </r>
  <r>
    <d v="2020-04-24T08:56:00"/>
    <s v="ŞA-00783"/>
    <s v="Şahinde"/>
    <s v="Demirel"/>
    <x v="4"/>
    <s v="Kulaklık"/>
    <n v="9"/>
    <s v="Paketlemede"/>
  </r>
  <r>
    <d v="2020-02-10T22:10:00"/>
    <s v="EM-00784"/>
    <s v="Emin"/>
    <s v="Tonyukuk Demir"/>
    <x v="0"/>
    <s v="Drone"/>
    <n v="9"/>
    <s v="Tslm Edldi"/>
  </r>
  <r>
    <d v="2020-01-05T22:50:00"/>
    <s v="AR-00785"/>
    <s v="Arif"/>
    <s v="Bülbül"/>
    <x v="3"/>
    <s v="Hard Disk"/>
    <n v="5"/>
    <s v="Tslm Edldi"/>
  </r>
  <r>
    <d v="2020-02-21T16:40:00"/>
    <s v="CE-00786"/>
    <s v="Cemile"/>
    <s v="Ayşe Özcan"/>
    <x v="4"/>
    <s v="Drone"/>
    <n v="10"/>
    <s v="Tslm Edldi"/>
  </r>
  <r>
    <d v="2020-04-14T21:11:00"/>
    <s v="SA-00787"/>
    <s v="Sabahattin"/>
    <s v="Genç"/>
    <x v="6"/>
    <s v="Kartuş"/>
    <n v="3"/>
    <s v="Tamamlandı"/>
  </r>
  <r>
    <d v="2020-07-03T09:27:00"/>
    <s v="ÖZ-00788"/>
    <s v="Özgür"/>
    <s v="Sinan Kaya"/>
    <x v="8"/>
    <s v="Webcam"/>
    <n v="5"/>
    <s v="Paketlemede"/>
  </r>
  <r>
    <d v="2020-05-07T16:03:00"/>
    <s v="ZÜ-00789"/>
    <s v="Zülfiye"/>
    <s v="Azak"/>
    <x v="1"/>
    <s v="Webcam"/>
    <n v="7"/>
    <s v="Paketlemede"/>
  </r>
  <r>
    <d v="2020-02-15T08:23:00"/>
    <s v="FA-00790"/>
    <s v="Fatih"/>
    <s v="Babuş"/>
    <x v="7"/>
    <s v="TV"/>
    <n v="7"/>
    <s v="Paketlemede"/>
  </r>
  <r>
    <d v="2020-04-04T14:25:00"/>
    <s v="Bİ-00791"/>
    <s v="Birgül"/>
    <s v="Ayhan"/>
    <x v="8"/>
    <s v="Mouse"/>
    <n v="5"/>
    <s v="Paketlemede"/>
  </r>
  <r>
    <d v="2020-08-25T11:26:00"/>
    <s v="EM-00792"/>
    <s v="Emine"/>
    <s v="Ulutaş"/>
    <x v="8"/>
    <s v="Monitör"/>
    <n v="9"/>
    <s v="Tslm Edldi"/>
  </r>
  <r>
    <d v="2020-04-17T20:43:00"/>
    <s v="ZE-00793"/>
    <s v="Zeliha"/>
    <s v="Kılıç"/>
    <x v="4"/>
    <s v="Kartuş"/>
    <n v="4"/>
    <s v="Tslm Edldi"/>
  </r>
  <r>
    <d v="2020-09-03T12:27:00"/>
    <s v="MU-00794"/>
    <s v="Muhlis"/>
    <s v="Alpsan Gökmen"/>
    <x v="3"/>
    <s v="Telefon"/>
    <n v="10"/>
    <s v="Tslm Edldi"/>
  </r>
  <r>
    <d v="2020-12-20T09:35:00"/>
    <s v="BA-00795"/>
    <s v="Başak"/>
    <s v="Aytaç"/>
    <x v="0"/>
    <s v="Kamera"/>
    <n v="8"/>
    <s v="Tslm Edldi"/>
  </r>
  <r>
    <d v="2020-09-10T20:02:00"/>
    <s v="Mİ-00796"/>
    <s v="Miray"/>
    <s v="Menteş"/>
    <x v="0"/>
    <s v="Monitör"/>
    <n v="5"/>
    <s v="Tamamlandı"/>
  </r>
  <r>
    <d v="2020-12-04T14:43:00"/>
    <s v="AH-00797"/>
    <s v="Ahmet"/>
    <s v="Yalçınkaya"/>
    <x v="7"/>
    <s v="Kulaklık"/>
    <n v="8"/>
    <s v="Tslm Edldi"/>
  </r>
  <r>
    <d v="2020-04-23T17:51:00"/>
    <s v="SE-00798"/>
    <s v="Sebiha"/>
    <s v="Kocabaş"/>
    <x v="3"/>
    <s v="Laptop"/>
    <n v="8"/>
    <s v="Paketlemede"/>
  </r>
  <r>
    <d v="2020-08-26T18:50:00"/>
    <s v="SE-00799"/>
    <s v="Sevde"/>
    <s v="Nur Demir"/>
    <x v="1"/>
    <s v="TV"/>
    <n v="6"/>
    <s v="Tslm Edldi"/>
  </r>
  <r>
    <d v="2020-02-12T15:48:00"/>
    <s v="ÇE-00800"/>
    <s v="Çetin"/>
    <s v="Sevük"/>
    <x v="8"/>
    <s v="Telefon"/>
    <n v="7"/>
    <s v="Tamamlandı"/>
  </r>
  <r>
    <d v="2020-12-13T10:12:00"/>
    <s v="MU-00801"/>
    <s v="Mustafa"/>
    <s v="Ulaş Oğuz"/>
    <x v="3"/>
    <s v="Webcam"/>
    <n v="9"/>
    <s v="Paketlemede"/>
  </r>
  <r>
    <d v="2020-11-08T20:56:00"/>
    <s v="MA-00802"/>
    <s v="Mahmut"/>
    <s v="Aksel"/>
    <x v="8"/>
    <s v="Telefon"/>
    <n v="4"/>
    <s v="Tamamlandı"/>
  </r>
  <r>
    <d v="2020-05-11T13:31:00"/>
    <s v="HA-00803"/>
    <s v="Hande"/>
    <s v="Pınarbaşılı"/>
    <x v="1"/>
    <s v="Kartuş"/>
    <n v="7"/>
    <s v="Tamamlandı"/>
  </r>
  <r>
    <d v="2020-04-24T22:36:00"/>
    <s v="SE-00804"/>
    <s v="Selim"/>
    <s v="Öney Kurnaz"/>
    <x v="2"/>
    <s v="Laptop"/>
    <n v="10"/>
    <s v="Paketlemede"/>
  </r>
  <r>
    <d v="2020-10-21T21:42:00"/>
    <s v="HA-00805"/>
    <s v="Hatice"/>
    <s v="Yabul"/>
    <x v="7"/>
    <s v="Kamera"/>
    <n v="5"/>
    <s v="Tslm Edldi"/>
  </r>
  <r>
    <d v="2020-08-05T13:51:00"/>
    <s v="AL-00806"/>
    <s v="Ali"/>
    <s v="Seçkin Ayvaz"/>
    <x v="4"/>
    <s v="Mouse"/>
    <n v="5"/>
    <s v="Tslm Edldi"/>
  </r>
  <r>
    <d v="2020-01-28T14:21:00"/>
    <s v="JÜ-00807"/>
    <s v="Jülide"/>
    <s v="Zehra Uluba"/>
    <x v="7"/>
    <s v="Mouse"/>
    <n v="4"/>
    <s v="Paketlemede"/>
  </r>
  <r>
    <d v="2020-07-10T20:21:00"/>
    <s v="GÖ-00808"/>
    <s v="Görkem"/>
    <s v="Abacıoğlu"/>
    <x v="2"/>
    <s v="Webcam"/>
    <n v="4"/>
    <s v="Tamamlandı"/>
  </r>
  <r>
    <d v="2020-01-13T18:26:00"/>
    <s v="MU-00809"/>
    <s v="Mustafa"/>
    <s v="Gençdal"/>
    <x v="0"/>
    <s v="Kamera"/>
    <n v="3"/>
    <s v="Paketlemede"/>
  </r>
  <r>
    <d v="2020-05-27T18:08:00"/>
    <s v="AH-00810"/>
    <s v="Ahmet"/>
    <s v="Emre Ülgen"/>
    <x v="3"/>
    <s v="Laptop"/>
    <n v="3"/>
    <s v="Tslm Edldi"/>
  </r>
  <r>
    <d v="2020-08-04T21:25:00"/>
    <s v="ME-00811"/>
    <s v="Mehmet"/>
    <s v="Kocabaş"/>
    <x v="8"/>
    <s v="Yazıcı"/>
    <n v="10"/>
    <s v="Tamamlandı"/>
  </r>
  <r>
    <d v="2020-05-03T11:52:00"/>
    <s v="BU-00812"/>
    <s v="Burcu"/>
    <s v="Akca Çağlar"/>
    <x v="4"/>
    <s v="Kulaklık"/>
    <n v="9"/>
    <s v="Tslm Edldi"/>
  </r>
  <r>
    <d v="2020-10-11T15:11:00"/>
    <s v="FE-00813"/>
    <s v="Ferdi"/>
    <s v="Bayram"/>
    <x v="8"/>
    <s v="Oyun Konsolu"/>
    <n v="10"/>
    <s v="Sipariş İptali"/>
  </r>
  <r>
    <d v="2020-05-19T17:33:00"/>
    <s v="MU-00814"/>
    <s v="Muhammet"/>
    <s v="Devran Yıldız"/>
    <x v="2"/>
    <s v="Monitör"/>
    <n v="5"/>
    <s v="Tslm Edldi"/>
  </r>
  <r>
    <d v="2020-05-24T13:03:00"/>
    <s v="EL-00815"/>
    <s v="Elif"/>
    <s v="Erol"/>
    <x v="6"/>
    <s v="Laptop"/>
    <n v="7"/>
    <s v="Tamamlandı"/>
  </r>
  <r>
    <d v="2020-12-11T11:39:00"/>
    <s v="HA-00816"/>
    <s v="Hasibe"/>
    <s v="Batmaz"/>
    <x v="8"/>
    <s v="Klavye"/>
    <n v="6"/>
    <s v="Tslm Edldi"/>
  </r>
  <r>
    <d v="2020-01-07T12:46:00"/>
    <s v="NU-00817"/>
    <s v="Nuray"/>
    <s v="Çetin"/>
    <x v="0"/>
    <s v="Yazıcı"/>
    <n v="9"/>
    <s v="Tamamlandı"/>
  </r>
  <r>
    <d v="2020-06-22T09:24:00"/>
    <s v="MU-00818"/>
    <s v="Muhlis"/>
    <s v="Kıraslan"/>
    <x v="3"/>
    <s v="TV"/>
    <n v="3"/>
    <s v="Paketlemede"/>
  </r>
  <r>
    <d v="2020-04-13T08:16:00"/>
    <s v="İK-00819"/>
    <s v="İkram"/>
    <s v="Küfeciler"/>
    <x v="3"/>
    <s v="Kamera"/>
    <n v="4"/>
    <s v="Paketlemede"/>
  </r>
  <r>
    <d v="2020-12-02T10:49:00"/>
    <s v="ES-00820"/>
    <s v="Esra"/>
    <s v="Polat Çiçek"/>
    <x v="0"/>
    <s v="Kulaklık"/>
    <n v="6"/>
    <s v="Tslm Edldi"/>
  </r>
  <r>
    <d v="2020-09-22T17:14:00"/>
    <s v="MU-00821"/>
    <s v="Mustafa"/>
    <s v="Eker"/>
    <x v="1"/>
    <s v="Oyun Konsolu"/>
    <n v="5"/>
    <s v="Paketlemede"/>
  </r>
  <r>
    <d v="2020-02-04T19:26:00"/>
    <s v="AY-00822"/>
    <s v="Aylia"/>
    <s v="Sarıca Darol"/>
    <x v="6"/>
    <s v="Mouse"/>
    <n v="3"/>
    <s v="Tamamlandı"/>
  </r>
  <r>
    <d v="2020-03-14T15:34:00"/>
    <s v="AH-00823"/>
    <s v="Ahmet"/>
    <s v="Erdoğan"/>
    <x v="5"/>
    <s v="Yazıcı"/>
    <n v="6"/>
    <s v="Paketlemede"/>
  </r>
  <r>
    <d v="2020-11-02T18:37:00"/>
    <s v="SÜ-00824"/>
    <s v="Süheyla"/>
    <s v="Amirova Uçan"/>
    <x v="4"/>
    <s v="Kamera"/>
    <n v="8"/>
    <s v="Tamamlandı"/>
  </r>
  <r>
    <d v="2020-12-01T11:17:00"/>
    <s v="NE-00825"/>
    <s v="Nevroz"/>
    <s v="Ten"/>
    <x v="0"/>
    <s v="Kartuş"/>
    <n v="3"/>
    <s v="Tamamlandı"/>
  </r>
  <r>
    <d v="2020-05-01T15:57:00"/>
    <s v="ÖZ-00826"/>
    <s v="Özlem"/>
    <s v="Topaloğlu"/>
    <x v="5"/>
    <s v="Kulaklık"/>
    <n v="4"/>
    <s v="Tslm Edldi"/>
  </r>
  <r>
    <d v="2020-01-12T20:19:00"/>
    <s v="ME-00827"/>
    <s v="Mehmet"/>
    <s v="Aydıner"/>
    <x v="2"/>
    <s v="Drone"/>
    <n v="3"/>
    <s v="Kargoda"/>
  </r>
  <r>
    <d v="2020-04-27T14:24:00"/>
    <s v="BU-00828"/>
    <s v="Burak"/>
    <s v="Yurdakök"/>
    <x v="2"/>
    <s v="Laptop"/>
    <n v="8"/>
    <s v="Paketlemede"/>
  </r>
  <r>
    <d v="2020-03-15T10:11:00"/>
    <s v="FE-00829"/>
    <s v="Feza"/>
    <s v="Sevük"/>
    <x v="5"/>
    <s v="Yazıcı"/>
    <n v="9"/>
    <s v="Tamamlandı"/>
  </r>
  <r>
    <d v="2020-04-14T08:57:00"/>
    <s v="KE-00830"/>
    <s v="Kenan"/>
    <s v="Ahmet Özcan"/>
    <x v="6"/>
    <s v="Hard Disk"/>
    <n v="7"/>
    <s v="Tslm Edldi"/>
  </r>
  <r>
    <d v="2020-09-02T12:22:00"/>
    <s v="ÖZ-00831"/>
    <s v="Özcan"/>
    <s v="Tuğcugil"/>
    <x v="1"/>
    <s v="Webcam"/>
    <n v="3"/>
    <s v="Tamamlandı"/>
  </r>
  <r>
    <d v="2020-09-14T19:56:00"/>
    <s v="ÖM-00832"/>
    <s v="Ömer"/>
    <s v="Özer"/>
    <x v="3"/>
    <s v="TV"/>
    <n v="3"/>
    <s v="Tslm Edldi"/>
  </r>
  <r>
    <d v="2020-06-19T19:50:00"/>
    <s v="Fİ-00833"/>
    <s v="Filiz"/>
    <s v="Filiz"/>
    <x v="4"/>
    <s v="Laptop"/>
    <n v="8"/>
    <s v="Paketlemede"/>
  </r>
  <r>
    <d v="2020-07-09T15:54:00"/>
    <s v="SÜ-00834"/>
    <s v="Süheyla"/>
    <s v="Kuyucu"/>
    <x v="4"/>
    <s v="Klavye"/>
    <n v="7"/>
    <s v="Paketlemede"/>
  </r>
  <r>
    <d v="2020-02-28T22:06:00"/>
    <s v="ON-00835"/>
    <s v="Onur"/>
    <s v="Kadir Dumlu"/>
    <x v="3"/>
    <s v="Kulaklık"/>
    <n v="4"/>
    <s v="Tamamlandı"/>
  </r>
  <r>
    <d v="2020-05-09T15:49:00"/>
    <s v="JA-00836"/>
    <s v="Jale"/>
    <s v="Alay"/>
    <x v="2"/>
    <s v="Drone"/>
    <n v="7"/>
    <s v="Tamamlandı"/>
  </r>
  <r>
    <d v="2020-06-27T20:29:00"/>
    <s v="MU-00837"/>
    <s v="Murat"/>
    <s v="Altuntaş"/>
    <x v="8"/>
    <s v="Webcam"/>
    <n v="6"/>
    <s v="Sipariş İptali"/>
  </r>
  <r>
    <d v="2020-07-06T13:23:00"/>
    <s v="BU-00838"/>
    <s v="Burcu"/>
    <s v="İnci Kenar"/>
    <x v="6"/>
    <s v="Monitör"/>
    <n v="6"/>
    <s v="Kargoda"/>
  </r>
  <r>
    <d v="2020-08-04T22:07:00"/>
    <s v="SE-00839"/>
    <s v="Seçkin"/>
    <s v="Akın"/>
    <x v="0"/>
    <s v="Kartuş"/>
    <n v="5"/>
    <s v="Paketlemede"/>
  </r>
  <r>
    <d v="2020-02-07T14:35:00"/>
    <s v="FU-00840"/>
    <s v="Funda"/>
    <s v="Kısa Karakaya"/>
    <x v="6"/>
    <s v="Oyun Konsolu"/>
    <n v="9"/>
    <s v="Tamamlandı"/>
  </r>
  <r>
    <d v="2020-12-22T22:28:00"/>
    <s v="ED-00841"/>
    <s v="Edip"/>
    <s v="Güvenç Sert"/>
    <x v="5"/>
    <s v="Klavye"/>
    <n v="4"/>
    <s v="Tslm Edldi"/>
  </r>
  <r>
    <d v="2020-12-03T16:48:00"/>
    <s v="MU-00842"/>
    <s v="Murat"/>
    <s v="Aydoğan"/>
    <x v="4"/>
    <s v="Kartuş"/>
    <n v="5"/>
    <s v="Tslm Edldi"/>
  </r>
  <r>
    <d v="2020-10-15T10:16:00"/>
    <s v="DE-00843"/>
    <s v="Demir"/>
    <s v="Yüksel"/>
    <x v="0"/>
    <s v="Telefon"/>
    <n v="7"/>
    <s v="Tamamlandı"/>
  </r>
  <r>
    <d v="2020-11-12T16:31:00"/>
    <s v="YU-00844"/>
    <s v="Yusuf"/>
    <s v="Hepkaya"/>
    <x v="4"/>
    <s v="Monitör"/>
    <n v="6"/>
    <s v="Paketlemede"/>
  </r>
  <r>
    <d v="2020-03-21T08:57:00"/>
    <s v="ZE-00845"/>
    <s v="Zeynep"/>
    <s v="Gökçe Ayvaz"/>
    <x v="3"/>
    <s v="TV"/>
    <n v="9"/>
    <s v="Paketlemede"/>
  </r>
  <r>
    <d v="2020-08-04T11:18:00"/>
    <s v="ME-00846"/>
    <s v="Mehmet"/>
    <s v="Reşit Özdoğan Kavzoğlu"/>
    <x v="7"/>
    <s v="Klavye"/>
    <n v="7"/>
    <s v="Tamamlandı"/>
  </r>
  <r>
    <d v="2020-12-25T17:48:00"/>
    <s v="ÖM-00847"/>
    <s v="Ömer"/>
    <s v="Uzun"/>
    <x v="8"/>
    <s v="Monitör"/>
    <n v="5"/>
    <s v="Tslm Edldi"/>
  </r>
  <r>
    <d v="2020-11-14T20:53:00"/>
    <s v="ÇA-00848"/>
    <s v="Çağdaş"/>
    <s v="Aydoğan"/>
    <x v="4"/>
    <s v="Yazıcı"/>
    <n v="5"/>
    <s v="Paketlemede"/>
  </r>
  <r>
    <d v="2020-04-08T16:15:00"/>
    <s v="ÖZ-00849"/>
    <s v="Özlem"/>
    <s v="Sarıkaya"/>
    <x v="8"/>
    <s v="TV"/>
    <n v="10"/>
    <s v="Paketlemede"/>
  </r>
  <r>
    <d v="2020-04-18T10:47:00"/>
    <s v="İL-00850"/>
    <s v="İlknur"/>
    <s v="Dönmez"/>
    <x v="6"/>
    <s v="Oyun Konsolu"/>
    <n v="6"/>
    <s v="Tslm Edldi"/>
  </r>
  <r>
    <d v="2020-09-06T21:17:00"/>
    <s v="LE-00851"/>
    <s v="Leziz"/>
    <s v="Değirmenci"/>
    <x v="5"/>
    <s v="TV"/>
    <n v="9"/>
    <s v="Tslm Edldi"/>
  </r>
  <r>
    <d v="2020-06-17T17:43:00"/>
    <s v="SE-00852"/>
    <s v="Serdar"/>
    <s v="Yücel"/>
    <x v="3"/>
    <s v="Hard Disk"/>
    <n v="9"/>
    <s v="Paketlemede"/>
  </r>
  <r>
    <d v="2020-08-23T18:17:00"/>
    <s v="MA-00853"/>
    <s v="Mahperi"/>
    <s v="Gündoğdu"/>
    <x v="6"/>
    <s v="Drone"/>
    <n v="4"/>
    <s v="Tamamlandı"/>
  </r>
  <r>
    <d v="2020-12-05T22:13:00"/>
    <s v="KE-00854"/>
    <s v="Kenan"/>
    <s v="Taşkın"/>
    <x v="6"/>
    <s v="Kartuş"/>
    <n v="10"/>
    <s v="Tamamlandı"/>
  </r>
  <r>
    <d v="2020-08-05T14:17:00"/>
    <s v="NU-00855"/>
    <s v="Nurdan"/>
    <s v="Çift"/>
    <x v="2"/>
    <s v="Hard Disk"/>
    <n v="3"/>
    <s v="Tamamlandı"/>
  </r>
  <r>
    <d v="2020-04-05T12:01:00"/>
    <s v="BA-00856"/>
    <s v="Bala"/>
    <s v="Başak Yıldız"/>
    <x v="8"/>
    <s v="TV"/>
    <n v="3"/>
    <s v="Tslm Edldi"/>
  </r>
  <r>
    <d v="2020-11-09T14:01:00"/>
    <s v="RE-00857"/>
    <s v="Reyhan"/>
    <s v="Paköz"/>
    <x v="0"/>
    <s v="Mouse"/>
    <n v="9"/>
    <s v="Tslm Edldi"/>
  </r>
  <r>
    <d v="2020-06-24T20:04:00"/>
    <s v="CU-00858"/>
    <s v="Cumhur"/>
    <s v="Gençpınar"/>
    <x v="4"/>
    <s v="Kulaklık"/>
    <n v="5"/>
    <s v="Paketlemede"/>
  </r>
  <r>
    <d v="2020-11-26T09:10:00"/>
    <s v="Nİ-00859"/>
    <s v="Nilgün"/>
    <s v="Akca Çağlar"/>
    <x v="3"/>
    <s v="Hard Disk"/>
    <n v="7"/>
    <s v="Paketlemede"/>
  </r>
  <r>
    <d v="2020-09-27T16:28:00"/>
    <s v="FA-00860"/>
    <s v="Fatıma"/>
    <s v="İlay Bayam"/>
    <x v="7"/>
    <s v="Hard Disk"/>
    <n v="9"/>
    <s v="Tslm Edldi"/>
  </r>
  <r>
    <d v="2020-09-01T17:44:00"/>
    <s v="ZE-00861"/>
    <s v="Zehra"/>
    <s v="Demirelli"/>
    <x v="1"/>
    <s v="Hard Disk"/>
    <n v="8"/>
    <s v="Tslm Edldi"/>
  </r>
  <r>
    <d v="2020-02-19T10:53:00"/>
    <s v="ER-00862"/>
    <s v="Ergül"/>
    <s v="Üçer"/>
    <x v="8"/>
    <s v="Drone"/>
    <n v="6"/>
    <s v="Tslm Edldi"/>
  </r>
  <r>
    <d v="2020-01-14T12:48:00"/>
    <s v="AY-00863"/>
    <s v="Aybüke"/>
    <s v="Çipe"/>
    <x v="3"/>
    <s v="Laptop"/>
    <n v="4"/>
    <s v="Tslm Edldi"/>
  </r>
  <r>
    <d v="2020-02-12T22:38:00"/>
    <s v="SE-00864"/>
    <s v="Sema"/>
    <s v="Sarı"/>
    <x v="1"/>
    <s v="Kartuş"/>
    <n v="5"/>
    <s v="Tamamlandı"/>
  </r>
  <r>
    <d v="2020-06-05T14:18:00"/>
    <s v="NE-00865"/>
    <s v="Nevriye"/>
    <s v="Güler"/>
    <x v="0"/>
    <s v="Mouse"/>
    <n v="7"/>
    <s v="Tslm Edldi"/>
  </r>
  <r>
    <d v="2020-06-15T08:25:00"/>
    <s v="ÜL-00866"/>
    <s v="Ülkü"/>
    <s v="Çildir"/>
    <x v="3"/>
    <s v="Monitör"/>
    <n v="3"/>
    <s v="Paketlemede"/>
  </r>
  <r>
    <d v="2020-05-22T21:09:00"/>
    <s v="İS-00867"/>
    <s v="İsmail"/>
    <s v="Bölük"/>
    <x v="6"/>
    <s v="Webcam"/>
    <n v="4"/>
    <s v="Tamamlandı"/>
  </r>
  <r>
    <d v="2020-12-20T12:49:00"/>
    <s v="ZÜ-00868"/>
    <s v="Zühal"/>
    <s v="Öney Kurnaz"/>
    <x v="3"/>
    <s v="TV"/>
    <n v="7"/>
    <s v="Tslm Edldi"/>
  </r>
  <r>
    <d v="2020-05-11T17:15:00"/>
    <s v="EM-00869"/>
    <s v="Emel"/>
    <s v="Yadigaroğlu"/>
    <x v="7"/>
    <s v="Yazıcı"/>
    <n v="8"/>
    <s v="Tamamlandı"/>
  </r>
  <r>
    <d v="2020-02-15T22:36:00"/>
    <s v="Bİ-00870"/>
    <s v="Birsen"/>
    <s v="Erdem"/>
    <x v="0"/>
    <s v="Yazıcı"/>
    <n v="5"/>
    <s v="Tamamlandı"/>
  </r>
  <r>
    <d v="2020-10-28T18:55:00"/>
    <s v="EF-00871"/>
    <s v="Eftal"/>
    <s v="Murat Sezer"/>
    <x v="3"/>
    <s v="Monitör"/>
    <n v="7"/>
    <s v="Paketlemede"/>
  </r>
  <r>
    <d v="2020-10-26T19:40:00"/>
    <s v="ME-00872"/>
    <s v="Mesut"/>
    <s v="Koca"/>
    <x v="0"/>
    <s v="Drone"/>
    <n v="3"/>
    <s v="Sipariş İptali"/>
  </r>
  <r>
    <d v="2020-02-20T12:08:00"/>
    <s v="MU-00873"/>
    <s v="Mutlu"/>
    <s v="Uzun"/>
    <x v="6"/>
    <s v="Oyun Konsolu"/>
    <n v="10"/>
    <s v="Tslm Edldi"/>
  </r>
  <r>
    <d v="2020-01-24T08:19:00"/>
    <s v="CE-00874"/>
    <s v="Cem"/>
    <s v="Onay"/>
    <x v="6"/>
    <s v="Telefon"/>
    <n v="4"/>
    <s v="Paketlemede"/>
  </r>
  <r>
    <d v="2020-04-01T16:48:00"/>
    <s v="AB-00875"/>
    <s v="Abdullah"/>
    <s v="Arif Baz"/>
    <x v="5"/>
    <s v="Telefon"/>
    <n v="5"/>
    <s v="Tslm Edldi"/>
  </r>
  <r>
    <d v="2020-02-26T17:13:00"/>
    <s v="İB-00876"/>
    <s v="İbrahim"/>
    <s v="Ekici"/>
    <x v="6"/>
    <s v="Telefon"/>
    <n v="8"/>
    <s v="Paketlemede"/>
  </r>
  <r>
    <d v="2020-01-06T20:58:00"/>
    <s v="ME-00877"/>
    <s v="Meltem"/>
    <s v="Özkan"/>
    <x v="4"/>
    <s v="Yazıcı"/>
    <n v="5"/>
    <s v="Tslm Edldi"/>
  </r>
  <r>
    <d v="2020-02-05T15:56:00"/>
    <s v="ÖN-00878"/>
    <s v="Önder"/>
    <s v="Çalışkantürk"/>
    <x v="1"/>
    <s v="Laptop"/>
    <n v="6"/>
    <s v="Tslm Edldi"/>
  </r>
  <r>
    <d v="2020-10-11T17:05:00"/>
    <s v="LA-00879"/>
    <s v="Latife"/>
    <s v="Kocakaya Altundal"/>
    <x v="2"/>
    <s v="Hard Disk"/>
    <n v="6"/>
    <s v="Tslm Edldi"/>
  </r>
  <r>
    <d v="2020-11-09T10:22:00"/>
    <s v="YI-00880"/>
    <s v="Yılmaz"/>
    <s v="Oral"/>
    <x v="6"/>
    <s v="Telefon"/>
    <n v="3"/>
    <s v="Tslm Edldi"/>
  </r>
  <r>
    <d v="2020-03-03T18:40:00"/>
    <s v="NA-00881"/>
    <s v="Nazan"/>
    <s v="Yurt"/>
    <x v="0"/>
    <s v="Kulaklık"/>
    <n v="4"/>
    <s v="Tamamlandı"/>
  </r>
  <r>
    <d v="2020-07-15T21:56:00"/>
    <s v="MU-00882"/>
    <s v="Mustafa"/>
    <s v="Başkan"/>
    <x v="2"/>
    <s v="Kulaklık"/>
    <n v="8"/>
    <s v="Paketlemede"/>
  </r>
  <r>
    <d v="2020-02-22T08:31:00"/>
    <s v="ME-00883"/>
    <s v="Melia"/>
    <s v="Sürmen Akyol"/>
    <x v="8"/>
    <s v="TV"/>
    <n v="3"/>
    <s v="Tslm Edldi"/>
  </r>
  <r>
    <d v="2020-01-27T21:13:00"/>
    <s v="ER-00884"/>
    <s v="Ergün"/>
    <s v="Özdoğan Kavzoğlu"/>
    <x v="0"/>
    <s v="TV"/>
    <n v="3"/>
    <s v="Tslm Edldi"/>
  </r>
  <r>
    <d v="2020-01-06T14:59:00"/>
    <s v="ÖZ-00885"/>
    <s v="Özlem"/>
    <s v="Özavcı Aygün"/>
    <x v="3"/>
    <s v="Oyun Konsolu"/>
    <n v="8"/>
    <s v="Tslm Edldi"/>
  </r>
  <r>
    <d v="2020-04-17T20:23:00"/>
    <s v="FU-00886"/>
    <s v="Fuat"/>
    <s v="Ernis Fidan"/>
    <x v="0"/>
    <s v="Mouse"/>
    <n v="6"/>
    <s v="Tamamlandı"/>
  </r>
  <r>
    <d v="2020-02-16T17:39:00"/>
    <s v="EY-00887"/>
    <s v="Eyyup"/>
    <s v="Sabri Öztürk"/>
    <x v="2"/>
    <s v="Drone"/>
    <n v="10"/>
    <s v="Tslm Edldi"/>
  </r>
  <r>
    <d v="2020-11-21T21:31:00"/>
    <s v="HA-00888"/>
    <s v="Haluk"/>
    <s v="Yılmaz"/>
    <x v="2"/>
    <s v="TV"/>
    <n v="10"/>
    <s v="Tslm Edldi"/>
  </r>
  <r>
    <d v="2020-01-08T17:17:00"/>
    <s v="AH-00889"/>
    <s v="Ahmet"/>
    <s v="Bıçakçı"/>
    <x v="2"/>
    <s v="Drone"/>
    <n v="7"/>
    <s v="Tslm Edldi"/>
  </r>
  <r>
    <d v="2020-03-06T21:32:00"/>
    <s v="MÜ-00890"/>
    <s v="Mümüne"/>
    <s v="Yüksel"/>
    <x v="2"/>
    <s v="Monitör"/>
    <n v="4"/>
    <s v="Tslm Edldi"/>
  </r>
  <r>
    <d v="2020-04-20T08:31:00"/>
    <s v="OL-00891"/>
    <s v="Olcay"/>
    <s v="Başak Su Dur"/>
    <x v="8"/>
    <s v="Drone"/>
    <n v="10"/>
    <s v="Tslm Edldi"/>
  </r>
  <r>
    <d v="2020-09-27T19:12:00"/>
    <s v="FU-00892"/>
    <s v="Fuat"/>
    <s v="Yiğit"/>
    <x v="4"/>
    <s v="Laptop"/>
    <n v="6"/>
    <s v="Tslm Edldi"/>
  </r>
  <r>
    <d v="2020-01-28T21:56:00"/>
    <s v="RÜ-00893"/>
    <s v="Rüştü"/>
    <s v="Doğan"/>
    <x v="2"/>
    <s v="Oyun Konsolu"/>
    <n v="9"/>
    <s v="Sipariş İptali"/>
  </r>
  <r>
    <d v="2020-08-12T15:16:00"/>
    <s v="ER-00894"/>
    <s v="Erkan"/>
    <s v="Kırhan"/>
    <x v="4"/>
    <s v="Monitör"/>
    <n v="9"/>
    <s v="Tslm Edldi"/>
  </r>
  <r>
    <d v="2020-03-19T12:39:00"/>
    <s v="ME-00895"/>
    <s v="Meral"/>
    <s v="Leman Akgül"/>
    <x v="2"/>
    <s v="Kamera"/>
    <n v="3"/>
    <s v="Tslm Edldi"/>
  </r>
  <r>
    <d v="2020-06-13T12:57:00"/>
    <s v="ER-00896"/>
    <s v="Ersagun"/>
    <s v="Şatır Ertem"/>
    <x v="4"/>
    <s v="Kulaklık"/>
    <n v="5"/>
    <s v="Tamamlandı"/>
  </r>
  <r>
    <d v="2020-11-21T19:45:00"/>
    <s v="SE-00897"/>
    <s v="Sema"/>
    <s v="Nilay Akyol"/>
    <x v="2"/>
    <s v="TV"/>
    <n v="4"/>
    <s v="Tslm Edldi"/>
  </r>
  <r>
    <d v="2020-02-26T21:26:00"/>
    <s v="ME-00898"/>
    <s v="Mehmet"/>
    <s v="Hüseyin Ten"/>
    <x v="4"/>
    <s v="Kamera"/>
    <n v="7"/>
    <s v="Tslm Edldi"/>
  </r>
  <r>
    <d v="2020-02-07T22:41:00"/>
    <s v="ER-00899"/>
    <s v="Ercan"/>
    <s v="Tüfenk"/>
    <x v="1"/>
    <s v="Oyun Konsolu"/>
    <n v="4"/>
    <s v="Tamamlandı"/>
  </r>
  <r>
    <d v="2020-04-27T09:52:00"/>
    <s v="FA-00900"/>
    <s v="Fatih"/>
    <s v="Almacıoğlu"/>
    <x v="1"/>
    <s v="Drone"/>
    <n v="9"/>
    <s v="Tslm Edldi"/>
  </r>
  <r>
    <d v="2020-12-05T10:28:00"/>
    <s v="RE-00901"/>
    <s v="Rengin"/>
    <s v="Aslıhan Anık"/>
    <x v="6"/>
    <s v="Oyun Konsolu"/>
    <n v="10"/>
    <s v="Tamamlandı"/>
  </r>
  <r>
    <d v="2020-02-27T12:21:00"/>
    <s v="VO-00902"/>
    <s v="Volkan"/>
    <s v="Özkan"/>
    <x v="8"/>
    <s v="Webcam"/>
    <n v="6"/>
    <s v="Tslm Edldi"/>
  </r>
  <r>
    <d v="2020-05-14T10:05:00"/>
    <s v="BE-00903"/>
    <s v="Beyza"/>
    <s v="Taşar"/>
    <x v="2"/>
    <s v="Oyun Konsolu"/>
    <n v="9"/>
    <s v="Paketlemede"/>
  </r>
  <r>
    <d v="2020-11-04T22:37:00"/>
    <s v="UM-00904"/>
    <s v="Umut"/>
    <s v="Seda Bereket"/>
    <x v="5"/>
    <s v="Yazıcı"/>
    <n v="6"/>
    <s v="Tslm Edldi"/>
  </r>
  <r>
    <d v="2020-10-07T10:05:00"/>
    <s v="SE-00905"/>
    <s v="Sema"/>
    <s v="Nilay Işık"/>
    <x v="2"/>
    <s v="Kartuş"/>
    <n v="5"/>
    <s v="Tamamlandı"/>
  </r>
  <r>
    <d v="2020-07-18T12:22:00"/>
    <s v="LA-00906"/>
    <s v="Latife"/>
    <s v="Karadeniz"/>
    <x v="6"/>
    <s v="Hard Disk"/>
    <n v="3"/>
    <s v="Tslm Edldi"/>
  </r>
  <r>
    <d v="2020-04-11T14:41:00"/>
    <s v="AH-00907"/>
    <s v="Ahmet"/>
    <s v="Ali Yılmaz"/>
    <x v="3"/>
    <s v="Drone"/>
    <n v="5"/>
    <s v="Tslm Edldi"/>
  </r>
  <r>
    <d v="2020-08-27T22:27:00"/>
    <s v="ÖZ-00908"/>
    <s v="Özlem"/>
    <s v="Özan Sanhal"/>
    <x v="4"/>
    <s v="TV"/>
    <n v="8"/>
    <s v="Paketlemede"/>
  </r>
  <r>
    <d v="2020-03-05T15:21:00"/>
    <s v="UF-00909"/>
    <s v="Ufuk"/>
    <s v="Servet"/>
    <x v="8"/>
    <s v="Webcam"/>
    <n v="3"/>
    <s v="Tamamlandı"/>
  </r>
  <r>
    <d v="2020-06-08T18:36:00"/>
    <s v="FÜ-00910"/>
    <s v="Füsun"/>
    <s v="Yıldırım"/>
    <x v="7"/>
    <s v="Mouse"/>
    <n v="9"/>
    <s v="Paketlemede"/>
  </r>
  <r>
    <d v="2020-03-14T17:55:00"/>
    <s v="KO-00911"/>
    <s v="Konuralp"/>
    <s v="Ergülü Eşmen"/>
    <x v="8"/>
    <s v="Hard Disk"/>
    <n v="8"/>
    <s v="Paketlemede"/>
  </r>
  <r>
    <d v="2020-06-20T10:54:00"/>
    <s v="MU-00912"/>
    <s v="Mukaddes"/>
    <s v="Danışoğlu"/>
    <x v="2"/>
    <s v="Webcam"/>
    <n v="8"/>
    <s v="Tslm Edldi"/>
  </r>
  <r>
    <d v="2020-10-13T11:25:00"/>
    <s v="ER-00913"/>
    <s v="Erkan"/>
    <s v="Bükülmez"/>
    <x v="0"/>
    <s v="Oyun Konsolu"/>
    <n v="5"/>
    <s v="Tamamlandı"/>
  </r>
  <r>
    <d v="2020-03-14T13:03:00"/>
    <s v="BE-00914"/>
    <s v="Belgin"/>
    <s v="Aksakal"/>
    <x v="3"/>
    <s v="Oyun Konsolu"/>
    <n v="8"/>
    <s v="Paketlemede"/>
  </r>
  <r>
    <d v="2020-07-07T18:19:00"/>
    <s v="AR-00915"/>
    <s v="Arzu"/>
    <s v="Yıldız"/>
    <x v="0"/>
    <s v="Laptop"/>
    <n v="6"/>
    <s v="Tslm Edldi"/>
  </r>
  <r>
    <d v="2020-04-03T18:52:00"/>
    <s v="AY-00916"/>
    <s v="Ayşe"/>
    <s v="Ahsen Kırhan"/>
    <x v="7"/>
    <s v="Hard Disk"/>
    <n v="3"/>
    <s v="Tslm Edldi"/>
  </r>
  <r>
    <d v="2020-01-10T08:47:00"/>
    <s v="İN-00917"/>
    <s v="İnci"/>
    <s v="Kuserli"/>
    <x v="4"/>
    <s v="Klavye"/>
    <n v="7"/>
    <s v="Tslm Edldi"/>
  </r>
  <r>
    <d v="2020-01-20T17:42:00"/>
    <s v="NU-00918"/>
    <s v="Nurettin"/>
    <s v="İrem Ergöz"/>
    <x v="5"/>
    <s v="Kulaklık"/>
    <n v="10"/>
    <s v="Paketlemede"/>
  </r>
  <r>
    <d v="2020-02-01T21:54:00"/>
    <s v="Şİ-00919"/>
    <s v="Şirin"/>
    <s v="Güler"/>
    <x v="0"/>
    <s v="Hard Disk"/>
    <n v="7"/>
    <s v="Tamamlandı"/>
  </r>
  <r>
    <d v="2020-06-26T20:07:00"/>
    <s v="TÜ-00920"/>
    <s v="Tülay"/>
    <s v="Gülen"/>
    <x v="2"/>
    <s v="Kartuş"/>
    <n v="6"/>
    <s v="Tslm Edldi"/>
  </r>
  <r>
    <d v="2020-10-05T08:33:00"/>
    <s v="AY-00921"/>
    <s v="Ayşegül"/>
    <s v="Atay"/>
    <x v="3"/>
    <s v="Kartuş"/>
    <n v="9"/>
    <s v="Tslm Edldi"/>
  </r>
  <r>
    <d v="2020-10-11T20:46:00"/>
    <s v="Hİ-00922"/>
    <s v="Hilal"/>
    <s v="Timurtaş Dayar"/>
    <x v="6"/>
    <s v="Monitör"/>
    <n v="4"/>
    <s v="Tslm Edldi"/>
  </r>
  <r>
    <d v="2020-08-06T16:53:00"/>
    <s v="PI-00923"/>
    <s v="Pınar"/>
    <s v="Kişi"/>
    <x v="1"/>
    <s v="Kartuş"/>
    <n v="8"/>
    <s v="Tamamlandı"/>
  </r>
  <r>
    <d v="2020-02-27T09:56:00"/>
    <s v="ON-00924"/>
    <s v="Onur"/>
    <s v="Kadir Ergülü Eşmen"/>
    <x v="0"/>
    <s v="Mouse"/>
    <n v="10"/>
    <s v="Tamamlandı"/>
  </r>
  <r>
    <d v="2020-04-13T09:47:00"/>
    <s v="OS-00925"/>
    <s v="Osman"/>
    <s v="Yalnız"/>
    <x v="2"/>
    <s v="Monitör"/>
    <n v="8"/>
    <s v="Tslm Edldi"/>
  </r>
  <r>
    <d v="2020-11-11T17:09:00"/>
    <s v="SE-00926"/>
    <s v="Serkan"/>
    <s v="Fazlı Akkoyunlu"/>
    <x v="3"/>
    <s v="Kulaklık"/>
    <n v="5"/>
    <s v="Paketlemede"/>
  </r>
  <r>
    <d v="2020-06-27T21:27:00"/>
    <s v="ZE-00927"/>
    <s v="Zeynep"/>
    <s v="Uyğun"/>
    <x v="3"/>
    <s v="Kamera"/>
    <n v="8"/>
    <s v="Tamamlandı"/>
  </r>
  <r>
    <d v="2020-04-28T11:56:00"/>
    <s v="GÜ-00928"/>
    <s v="Gülden"/>
    <s v="Erden"/>
    <x v="3"/>
    <s v="Laptop"/>
    <n v="8"/>
    <s v="Paketlemede"/>
  </r>
  <r>
    <d v="2020-05-25T12:16:00"/>
    <s v="GÖ-00929"/>
    <s v="Görkem"/>
    <s v="Öcal"/>
    <x v="0"/>
    <s v="Laptop"/>
    <n v="3"/>
    <s v="Paketlemede"/>
  </r>
  <r>
    <d v="2020-06-19T20:18:00"/>
    <s v="HA-00930"/>
    <s v="Hasan"/>
    <s v="Güney Kocabaş"/>
    <x v="4"/>
    <s v="Klavye"/>
    <n v="4"/>
    <s v="Tamamlandı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3">
  <r>
    <x v="0"/>
    <x v="0"/>
    <s v="Serhat"/>
    <s v="Başkan Vuralkan"/>
    <x v="0"/>
    <x v="0"/>
    <x v="0"/>
    <x v="0"/>
  </r>
  <r>
    <x v="1"/>
    <x v="1"/>
    <s v="Serdar"/>
    <s v="Çelik"/>
    <x v="1"/>
    <x v="1"/>
    <x v="1"/>
    <x v="1"/>
  </r>
  <r>
    <x v="2"/>
    <x v="2"/>
    <s v="Tayyar"/>
    <s v="Alp Yenin"/>
    <x v="2"/>
    <x v="2"/>
    <x v="2"/>
    <x v="0"/>
  </r>
  <r>
    <x v="3"/>
    <x v="3"/>
    <s v="Hakan"/>
    <s v="Sulhan"/>
    <x v="1"/>
    <x v="3"/>
    <x v="0"/>
    <x v="0"/>
  </r>
  <r>
    <x v="4"/>
    <x v="4"/>
    <s v="Şafak"/>
    <s v="Balaban"/>
    <x v="3"/>
    <x v="4"/>
    <x v="3"/>
    <x v="0"/>
  </r>
  <r>
    <x v="5"/>
    <x v="5"/>
    <s v="Şenay"/>
    <s v="Yıldırım"/>
    <x v="2"/>
    <x v="5"/>
    <x v="4"/>
    <x v="1"/>
  </r>
  <r>
    <x v="6"/>
    <x v="6"/>
    <s v="Melda"/>
    <s v="Ekici"/>
    <x v="1"/>
    <x v="6"/>
    <x v="5"/>
    <x v="0"/>
  </r>
  <r>
    <x v="7"/>
    <x v="7"/>
    <s v="Muammer"/>
    <s v="Kalyoncu Uçar"/>
    <x v="2"/>
    <x v="4"/>
    <x v="6"/>
    <x v="1"/>
  </r>
  <r>
    <x v="8"/>
    <x v="8"/>
    <s v="Serdal"/>
    <s v="Akıncı"/>
    <x v="0"/>
    <x v="3"/>
    <x v="5"/>
    <x v="2"/>
  </r>
  <r>
    <x v="9"/>
    <x v="9"/>
    <s v="Zeliha"/>
    <s v="Kılıç"/>
    <x v="4"/>
    <x v="6"/>
    <x v="4"/>
    <x v="0"/>
  </r>
  <r>
    <x v="10"/>
    <x v="10"/>
    <s v="Münever"/>
    <s v="Sevinç"/>
    <x v="1"/>
    <x v="5"/>
    <x v="0"/>
    <x v="2"/>
  </r>
  <r>
    <x v="11"/>
    <x v="11"/>
    <s v="Süleyman"/>
    <s v="Akşahin"/>
    <x v="1"/>
    <x v="2"/>
    <x v="4"/>
    <x v="2"/>
  </r>
  <r>
    <x v="12"/>
    <x v="12"/>
    <s v="Zeliha"/>
    <s v="Taş"/>
    <x v="3"/>
    <x v="1"/>
    <x v="6"/>
    <x v="2"/>
  </r>
  <r>
    <x v="13"/>
    <x v="13"/>
    <s v="Gülseren"/>
    <s v="Başyurt"/>
    <x v="5"/>
    <x v="7"/>
    <x v="1"/>
    <x v="2"/>
  </r>
  <r>
    <x v="14"/>
    <x v="14"/>
    <s v="Refaettin"/>
    <s v="Sül"/>
    <x v="6"/>
    <x v="8"/>
    <x v="2"/>
    <x v="2"/>
  </r>
  <r>
    <x v="15"/>
    <x v="15"/>
    <s v="Çetin"/>
    <s v="Cimbek"/>
    <x v="0"/>
    <x v="1"/>
    <x v="7"/>
    <x v="2"/>
  </r>
  <r>
    <x v="16"/>
    <x v="16"/>
    <s v="Gülname"/>
    <s v="Çelen"/>
    <x v="7"/>
    <x v="4"/>
    <x v="4"/>
    <x v="2"/>
  </r>
  <r>
    <x v="17"/>
    <x v="17"/>
    <s v="Serdar"/>
    <s v="Karabağ"/>
    <x v="8"/>
    <x v="9"/>
    <x v="7"/>
    <x v="2"/>
  </r>
  <r>
    <x v="18"/>
    <x v="18"/>
    <s v="Nejdet"/>
    <s v="Şen"/>
    <x v="7"/>
    <x v="10"/>
    <x v="5"/>
    <x v="0"/>
  </r>
  <r>
    <x v="19"/>
    <x v="19"/>
    <s v="İlknur"/>
    <s v="Yüzbaşıoğlu"/>
    <x v="3"/>
    <x v="8"/>
    <x v="3"/>
    <x v="2"/>
  </r>
  <r>
    <x v="20"/>
    <x v="20"/>
    <s v="Zafer"/>
    <s v="Başaran"/>
    <x v="8"/>
    <x v="11"/>
    <x v="6"/>
    <x v="2"/>
  </r>
  <r>
    <x v="21"/>
    <x v="21"/>
    <s v="Refaettin"/>
    <s v="Yılmaz"/>
    <x v="4"/>
    <x v="1"/>
    <x v="7"/>
    <x v="1"/>
  </r>
  <r>
    <x v="22"/>
    <x v="22"/>
    <s v="Mübeccel"/>
    <s v="Öcal"/>
    <x v="4"/>
    <x v="4"/>
    <x v="3"/>
    <x v="2"/>
  </r>
  <r>
    <x v="23"/>
    <x v="23"/>
    <s v="Burcu"/>
    <s v="Çelik"/>
    <x v="3"/>
    <x v="8"/>
    <x v="1"/>
    <x v="0"/>
  </r>
  <r>
    <x v="24"/>
    <x v="24"/>
    <s v="Emel"/>
    <s v="Cennet Topaloğlu"/>
    <x v="2"/>
    <x v="1"/>
    <x v="5"/>
    <x v="2"/>
  </r>
  <r>
    <x v="25"/>
    <x v="25"/>
    <s v="Birsen"/>
    <s v="Özdemir"/>
    <x v="3"/>
    <x v="12"/>
    <x v="1"/>
    <x v="2"/>
  </r>
  <r>
    <x v="26"/>
    <x v="26"/>
    <s v="Umut"/>
    <s v="Sinan Danışoğlu"/>
    <x v="7"/>
    <x v="8"/>
    <x v="5"/>
    <x v="2"/>
  </r>
  <r>
    <x v="27"/>
    <x v="27"/>
    <s v="Barış"/>
    <s v="Ertekin"/>
    <x v="1"/>
    <x v="6"/>
    <x v="7"/>
    <x v="0"/>
  </r>
  <r>
    <x v="28"/>
    <x v="28"/>
    <s v="Sami"/>
    <s v="Görkem"/>
    <x v="2"/>
    <x v="10"/>
    <x v="5"/>
    <x v="2"/>
  </r>
  <r>
    <x v="29"/>
    <x v="29"/>
    <s v="Ülkühan"/>
    <s v="Özen"/>
    <x v="2"/>
    <x v="12"/>
    <x v="5"/>
    <x v="2"/>
  </r>
  <r>
    <x v="30"/>
    <x v="30"/>
    <s v="Emine"/>
    <s v="Eker"/>
    <x v="1"/>
    <x v="4"/>
    <x v="1"/>
    <x v="0"/>
  </r>
  <r>
    <x v="31"/>
    <x v="31"/>
    <s v="Yasemin"/>
    <s v="Yaman"/>
    <x v="0"/>
    <x v="4"/>
    <x v="0"/>
    <x v="1"/>
  </r>
  <r>
    <x v="32"/>
    <x v="32"/>
    <s v="Cem"/>
    <s v="Murt"/>
    <x v="5"/>
    <x v="7"/>
    <x v="5"/>
    <x v="1"/>
  </r>
  <r>
    <x v="33"/>
    <x v="33"/>
    <s v="Serkan"/>
    <s v="Gündüz"/>
    <x v="5"/>
    <x v="13"/>
    <x v="3"/>
    <x v="0"/>
  </r>
  <r>
    <x v="34"/>
    <x v="34"/>
    <s v="Meral"/>
    <s v="Sönmez"/>
    <x v="7"/>
    <x v="10"/>
    <x v="6"/>
    <x v="2"/>
  </r>
  <r>
    <x v="35"/>
    <x v="35"/>
    <s v="Tuba"/>
    <s v="Yücetürk"/>
    <x v="6"/>
    <x v="10"/>
    <x v="6"/>
    <x v="0"/>
  </r>
  <r>
    <x v="36"/>
    <x v="36"/>
    <s v="Cemile"/>
    <s v="Çiğdem Yüce"/>
    <x v="1"/>
    <x v="10"/>
    <x v="0"/>
    <x v="0"/>
  </r>
  <r>
    <x v="37"/>
    <x v="37"/>
    <s v="Gökmen"/>
    <s v="Alpaslan Özer"/>
    <x v="4"/>
    <x v="0"/>
    <x v="2"/>
    <x v="1"/>
  </r>
  <r>
    <x v="38"/>
    <x v="38"/>
    <s v="Erhan"/>
    <s v="Evik"/>
    <x v="8"/>
    <x v="12"/>
    <x v="4"/>
    <x v="2"/>
  </r>
  <r>
    <x v="39"/>
    <x v="39"/>
    <s v="Tülay"/>
    <s v="Karamanlı"/>
    <x v="5"/>
    <x v="7"/>
    <x v="7"/>
    <x v="0"/>
  </r>
  <r>
    <x v="40"/>
    <x v="40"/>
    <s v="Vedat"/>
    <s v="Onay"/>
    <x v="7"/>
    <x v="10"/>
    <x v="5"/>
    <x v="2"/>
  </r>
  <r>
    <x v="41"/>
    <x v="41"/>
    <s v="Yusuf"/>
    <s v="Alper Albayrak"/>
    <x v="2"/>
    <x v="1"/>
    <x v="0"/>
    <x v="2"/>
  </r>
  <r>
    <x v="42"/>
    <x v="42"/>
    <s v="Sonay"/>
    <s v="Suluova"/>
    <x v="5"/>
    <x v="9"/>
    <x v="4"/>
    <x v="2"/>
  </r>
  <r>
    <x v="43"/>
    <x v="43"/>
    <s v="Gülşah"/>
    <s v="Gümüş"/>
    <x v="8"/>
    <x v="0"/>
    <x v="4"/>
    <x v="0"/>
  </r>
  <r>
    <x v="44"/>
    <x v="44"/>
    <s v="Sevgül"/>
    <s v="Onan"/>
    <x v="0"/>
    <x v="1"/>
    <x v="5"/>
    <x v="1"/>
  </r>
  <r>
    <x v="45"/>
    <x v="45"/>
    <s v="Talha"/>
    <s v="Kabacaoğlu"/>
    <x v="0"/>
    <x v="8"/>
    <x v="3"/>
    <x v="2"/>
  </r>
  <r>
    <x v="46"/>
    <x v="46"/>
    <s v="Ramazan"/>
    <s v="Kara"/>
    <x v="8"/>
    <x v="2"/>
    <x v="5"/>
    <x v="0"/>
  </r>
  <r>
    <x v="47"/>
    <x v="47"/>
    <s v="Fatih"/>
    <s v="Akhun"/>
    <x v="1"/>
    <x v="2"/>
    <x v="1"/>
    <x v="2"/>
  </r>
  <r>
    <x v="48"/>
    <x v="48"/>
    <s v="Emine"/>
    <s v="Erol"/>
    <x v="3"/>
    <x v="8"/>
    <x v="7"/>
    <x v="2"/>
  </r>
  <r>
    <x v="49"/>
    <x v="49"/>
    <s v="Mustafa"/>
    <s v="Arif Orhon"/>
    <x v="3"/>
    <x v="0"/>
    <x v="1"/>
    <x v="0"/>
  </r>
  <r>
    <x v="50"/>
    <x v="50"/>
    <s v="Tuba"/>
    <s v="Avcıoğlu"/>
    <x v="4"/>
    <x v="11"/>
    <x v="0"/>
    <x v="2"/>
  </r>
  <r>
    <x v="51"/>
    <x v="51"/>
    <s v="Nihat"/>
    <s v="Uz"/>
    <x v="1"/>
    <x v="7"/>
    <x v="7"/>
    <x v="2"/>
  </r>
  <r>
    <x v="52"/>
    <x v="52"/>
    <s v="Müslim"/>
    <s v="Bektaş"/>
    <x v="4"/>
    <x v="2"/>
    <x v="1"/>
    <x v="0"/>
  </r>
  <r>
    <x v="53"/>
    <x v="53"/>
    <s v="Kubilay"/>
    <s v="Yıldız"/>
    <x v="1"/>
    <x v="5"/>
    <x v="1"/>
    <x v="3"/>
  </r>
  <r>
    <x v="54"/>
    <x v="54"/>
    <s v="Tuğra"/>
    <s v="Kaynak"/>
    <x v="7"/>
    <x v="8"/>
    <x v="2"/>
    <x v="0"/>
  </r>
  <r>
    <x v="55"/>
    <x v="55"/>
    <s v="Emrah"/>
    <s v="Kılaç"/>
    <x v="8"/>
    <x v="2"/>
    <x v="6"/>
    <x v="2"/>
  </r>
  <r>
    <x v="56"/>
    <x v="56"/>
    <s v="Aylia"/>
    <s v="Yüzbaşıoğlu"/>
    <x v="4"/>
    <x v="11"/>
    <x v="0"/>
    <x v="1"/>
  </r>
  <r>
    <x v="57"/>
    <x v="57"/>
    <s v="Dilek"/>
    <s v="Yarbil"/>
    <x v="2"/>
    <x v="9"/>
    <x v="2"/>
    <x v="2"/>
  </r>
  <r>
    <x v="58"/>
    <x v="58"/>
    <s v="Erhan"/>
    <s v="Gürdal"/>
    <x v="0"/>
    <x v="9"/>
    <x v="0"/>
    <x v="0"/>
  </r>
  <r>
    <x v="59"/>
    <x v="59"/>
    <s v="Mehtap"/>
    <s v="Acar"/>
    <x v="1"/>
    <x v="0"/>
    <x v="3"/>
    <x v="1"/>
  </r>
  <r>
    <x v="60"/>
    <x v="60"/>
    <s v="Hale"/>
    <s v="Akcan Atasoy"/>
    <x v="2"/>
    <x v="5"/>
    <x v="7"/>
    <x v="0"/>
  </r>
  <r>
    <x v="61"/>
    <x v="61"/>
    <s v="Burcu"/>
    <s v="Aydın"/>
    <x v="3"/>
    <x v="8"/>
    <x v="4"/>
    <x v="2"/>
  </r>
  <r>
    <x v="62"/>
    <x v="62"/>
    <s v="Muhammet"/>
    <s v="Devran Kılıç"/>
    <x v="6"/>
    <x v="6"/>
    <x v="4"/>
    <x v="2"/>
  </r>
  <r>
    <x v="63"/>
    <x v="63"/>
    <s v="Simender"/>
    <s v="Aksun"/>
    <x v="6"/>
    <x v="5"/>
    <x v="5"/>
    <x v="2"/>
  </r>
  <r>
    <x v="64"/>
    <x v="64"/>
    <s v="Filiz"/>
    <s v="Çetemen"/>
    <x v="0"/>
    <x v="9"/>
    <x v="6"/>
    <x v="0"/>
  </r>
  <r>
    <x v="65"/>
    <x v="65"/>
    <s v="Filiz"/>
    <s v="Tepe"/>
    <x v="2"/>
    <x v="11"/>
    <x v="0"/>
    <x v="2"/>
  </r>
  <r>
    <x v="66"/>
    <x v="66"/>
    <s v="Mustafa"/>
    <s v="Kemal Belgemen"/>
    <x v="4"/>
    <x v="1"/>
    <x v="4"/>
    <x v="2"/>
  </r>
  <r>
    <x v="67"/>
    <x v="67"/>
    <s v="Hande"/>
    <s v="Esen"/>
    <x v="6"/>
    <x v="12"/>
    <x v="5"/>
    <x v="2"/>
  </r>
  <r>
    <x v="68"/>
    <x v="68"/>
    <s v="Evre"/>
    <s v="Köşker"/>
    <x v="7"/>
    <x v="12"/>
    <x v="7"/>
    <x v="2"/>
  </r>
  <r>
    <x v="69"/>
    <x v="69"/>
    <s v="Gülname"/>
    <s v="Sürmen Akyol"/>
    <x v="7"/>
    <x v="9"/>
    <x v="7"/>
    <x v="1"/>
  </r>
  <r>
    <x v="70"/>
    <x v="70"/>
    <s v="Zahide"/>
    <s v="Yüzbaşıoğlu"/>
    <x v="1"/>
    <x v="0"/>
    <x v="2"/>
    <x v="1"/>
  </r>
  <r>
    <x v="71"/>
    <x v="71"/>
    <s v="Güldehen"/>
    <s v="Doğan"/>
    <x v="5"/>
    <x v="8"/>
    <x v="5"/>
    <x v="2"/>
  </r>
  <r>
    <x v="72"/>
    <x v="72"/>
    <s v="Rukiye"/>
    <s v="Çalışkantürk"/>
    <x v="7"/>
    <x v="4"/>
    <x v="4"/>
    <x v="2"/>
  </r>
  <r>
    <x v="73"/>
    <x v="73"/>
    <s v="Işık"/>
    <s v="Özel"/>
    <x v="4"/>
    <x v="11"/>
    <x v="2"/>
    <x v="2"/>
  </r>
  <r>
    <x v="74"/>
    <x v="74"/>
    <s v="Sonay"/>
    <s v="Yiğit Kuplay"/>
    <x v="5"/>
    <x v="6"/>
    <x v="0"/>
    <x v="2"/>
  </r>
  <r>
    <x v="75"/>
    <x v="75"/>
    <s v="Mete"/>
    <s v="Ercan"/>
    <x v="6"/>
    <x v="2"/>
    <x v="0"/>
    <x v="2"/>
  </r>
  <r>
    <x v="76"/>
    <x v="76"/>
    <s v="Hatice"/>
    <s v="Eylül Alpınar"/>
    <x v="2"/>
    <x v="11"/>
    <x v="0"/>
    <x v="1"/>
  </r>
  <r>
    <x v="77"/>
    <x v="77"/>
    <s v="Hasan"/>
    <s v="Kaya"/>
    <x v="8"/>
    <x v="4"/>
    <x v="1"/>
    <x v="0"/>
  </r>
  <r>
    <x v="78"/>
    <x v="78"/>
    <s v="İzzet"/>
    <s v="Onan"/>
    <x v="4"/>
    <x v="12"/>
    <x v="0"/>
    <x v="2"/>
  </r>
  <r>
    <x v="79"/>
    <x v="79"/>
    <s v="Haci"/>
    <s v="Halil Kırhan"/>
    <x v="7"/>
    <x v="7"/>
    <x v="1"/>
    <x v="0"/>
  </r>
  <r>
    <x v="80"/>
    <x v="80"/>
    <s v="Seda"/>
    <s v="Elçim Özçay"/>
    <x v="7"/>
    <x v="12"/>
    <x v="6"/>
    <x v="2"/>
  </r>
  <r>
    <x v="81"/>
    <x v="81"/>
    <s v="Tuğba"/>
    <s v="Özdemir Akdur"/>
    <x v="7"/>
    <x v="13"/>
    <x v="7"/>
    <x v="1"/>
  </r>
  <r>
    <x v="82"/>
    <x v="82"/>
    <s v="Özlem"/>
    <s v="Yıldırım"/>
    <x v="2"/>
    <x v="5"/>
    <x v="1"/>
    <x v="0"/>
  </r>
  <r>
    <x v="83"/>
    <x v="83"/>
    <s v="Nurcan"/>
    <s v="Saraç"/>
    <x v="7"/>
    <x v="9"/>
    <x v="4"/>
    <x v="2"/>
  </r>
  <r>
    <x v="84"/>
    <x v="84"/>
    <s v="Yaşar"/>
    <s v="Gökhan Ay Güney"/>
    <x v="7"/>
    <x v="10"/>
    <x v="5"/>
    <x v="2"/>
  </r>
  <r>
    <x v="85"/>
    <x v="85"/>
    <s v="Gökmen"/>
    <s v="Alpaslan Gündüz"/>
    <x v="3"/>
    <x v="1"/>
    <x v="2"/>
    <x v="0"/>
  </r>
  <r>
    <x v="86"/>
    <x v="86"/>
    <s v="Erhan"/>
    <s v="Güven Meşe"/>
    <x v="1"/>
    <x v="10"/>
    <x v="3"/>
    <x v="2"/>
  </r>
  <r>
    <x v="87"/>
    <x v="87"/>
    <s v="Tuna"/>
    <s v="İner Köksal"/>
    <x v="8"/>
    <x v="7"/>
    <x v="4"/>
    <x v="1"/>
  </r>
  <r>
    <x v="88"/>
    <x v="88"/>
    <s v="Mustafa"/>
    <s v="Eker"/>
    <x v="5"/>
    <x v="11"/>
    <x v="7"/>
    <x v="0"/>
  </r>
  <r>
    <x v="89"/>
    <x v="89"/>
    <s v="Nilay"/>
    <s v="Işıklı"/>
    <x v="2"/>
    <x v="12"/>
    <x v="5"/>
    <x v="2"/>
  </r>
  <r>
    <x v="90"/>
    <x v="90"/>
    <s v="Fatma"/>
    <s v="Esin Çetin"/>
    <x v="3"/>
    <x v="0"/>
    <x v="5"/>
    <x v="2"/>
  </r>
  <r>
    <x v="91"/>
    <x v="91"/>
    <s v="Işıl"/>
    <s v="Güzel"/>
    <x v="8"/>
    <x v="8"/>
    <x v="2"/>
    <x v="0"/>
  </r>
  <r>
    <x v="92"/>
    <x v="92"/>
    <s v="Zafer"/>
    <s v="Yurdakök"/>
    <x v="1"/>
    <x v="5"/>
    <x v="2"/>
    <x v="2"/>
  </r>
  <r>
    <x v="93"/>
    <x v="93"/>
    <s v="Burcu"/>
    <s v="Ergün"/>
    <x v="0"/>
    <x v="4"/>
    <x v="6"/>
    <x v="1"/>
  </r>
  <r>
    <x v="94"/>
    <x v="94"/>
    <s v="Zeynep"/>
    <s v="Kılıç"/>
    <x v="7"/>
    <x v="2"/>
    <x v="3"/>
    <x v="0"/>
  </r>
  <r>
    <x v="95"/>
    <x v="95"/>
    <s v="İkram"/>
    <s v="Şahin Duyar"/>
    <x v="5"/>
    <x v="6"/>
    <x v="7"/>
    <x v="2"/>
  </r>
  <r>
    <x v="96"/>
    <x v="96"/>
    <s v="Recep"/>
    <s v="Gani Bektaş"/>
    <x v="1"/>
    <x v="8"/>
    <x v="1"/>
    <x v="2"/>
  </r>
  <r>
    <x v="97"/>
    <x v="97"/>
    <s v="Salih"/>
    <s v="Cirit Koçer"/>
    <x v="4"/>
    <x v="6"/>
    <x v="5"/>
    <x v="2"/>
  </r>
  <r>
    <x v="98"/>
    <x v="98"/>
    <s v="Ebru"/>
    <s v="Kayaoğlu"/>
    <x v="8"/>
    <x v="1"/>
    <x v="2"/>
    <x v="0"/>
  </r>
  <r>
    <x v="99"/>
    <x v="99"/>
    <s v="Seçkin"/>
    <s v="Başman"/>
    <x v="2"/>
    <x v="3"/>
    <x v="0"/>
    <x v="0"/>
  </r>
  <r>
    <x v="100"/>
    <x v="100"/>
    <s v="Ferda"/>
    <s v="Karacan"/>
    <x v="8"/>
    <x v="10"/>
    <x v="6"/>
    <x v="2"/>
  </r>
  <r>
    <x v="101"/>
    <x v="101"/>
    <s v="Pınar"/>
    <s v="Altun"/>
    <x v="1"/>
    <x v="7"/>
    <x v="5"/>
    <x v="1"/>
  </r>
  <r>
    <x v="102"/>
    <x v="102"/>
    <s v="Birgül"/>
    <s v="Öztürk"/>
    <x v="7"/>
    <x v="12"/>
    <x v="0"/>
    <x v="1"/>
  </r>
  <r>
    <x v="103"/>
    <x v="103"/>
    <s v="Ayşe"/>
    <s v="Gül Karadeniz"/>
    <x v="2"/>
    <x v="10"/>
    <x v="5"/>
    <x v="1"/>
  </r>
  <r>
    <x v="104"/>
    <x v="104"/>
    <s v="Burcu"/>
    <s v="Şentürk"/>
    <x v="7"/>
    <x v="11"/>
    <x v="5"/>
    <x v="2"/>
  </r>
  <r>
    <x v="105"/>
    <x v="105"/>
    <s v="Nilay"/>
    <s v="Emlakçıoğlu"/>
    <x v="0"/>
    <x v="8"/>
    <x v="3"/>
    <x v="0"/>
  </r>
  <r>
    <x v="106"/>
    <x v="106"/>
    <s v="Nizamettin"/>
    <s v="Karadağ Geçgel"/>
    <x v="8"/>
    <x v="6"/>
    <x v="2"/>
    <x v="2"/>
  </r>
  <r>
    <x v="107"/>
    <x v="107"/>
    <s v="Yasemin"/>
    <s v="Sarıca Darol"/>
    <x v="3"/>
    <x v="10"/>
    <x v="1"/>
    <x v="0"/>
  </r>
  <r>
    <x v="108"/>
    <x v="108"/>
    <s v="Abdullah"/>
    <s v="Arif Atay"/>
    <x v="1"/>
    <x v="13"/>
    <x v="4"/>
    <x v="2"/>
  </r>
  <r>
    <x v="109"/>
    <x v="109"/>
    <s v="Aydın"/>
    <s v="Öden"/>
    <x v="6"/>
    <x v="9"/>
    <x v="6"/>
    <x v="2"/>
  </r>
  <r>
    <x v="110"/>
    <x v="110"/>
    <s v="Levent"/>
    <s v="Yavuz"/>
    <x v="4"/>
    <x v="3"/>
    <x v="2"/>
    <x v="1"/>
  </r>
  <r>
    <x v="111"/>
    <x v="111"/>
    <s v="Serhan"/>
    <s v="Hodjaoglu"/>
    <x v="2"/>
    <x v="4"/>
    <x v="4"/>
    <x v="4"/>
  </r>
  <r>
    <x v="112"/>
    <x v="112"/>
    <s v="Dilara"/>
    <s v="Çelik"/>
    <x v="8"/>
    <x v="0"/>
    <x v="1"/>
    <x v="1"/>
  </r>
  <r>
    <x v="113"/>
    <x v="113"/>
    <s v="Emine"/>
    <s v="Bayraktar"/>
    <x v="0"/>
    <x v="9"/>
    <x v="6"/>
    <x v="2"/>
  </r>
  <r>
    <x v="114"/>
    <x v="114"/>
    <s v="Mehmet"/>
    <s v="Özer Çipe"/>
    <x v="1"/>
    <x v="4"/>
    <x v="3"/>
    <x v="1"/>
  </r>
  <r>
    <x v="115"/>
    <x v="115"/>
    <s v="Haluk"/>
    <s v="Karatoprak"/>
    <x v="3"/>
    <x v="8"/>
    <x v="1"/>
    <x v="2"/>
  </r>
  <r>
    <x v="116"/>
    <x v="116"/>
    <s v="Mehmet"/>
    <s v="Taşar"/>
    <x v="3"/>
    <x v="0"/>
    <x v="0"/>
    <x v="2"/>
  </r>
  <r>
    <x v="117"/>
    <x v="117"/>
    <s v="Burcu"/>
    <s v="Pişirgen"/>
    <x v="3"/>
    <x v="3"/>
    <x v="6"/>
    <x v="2"/>
  </r>
  <r>
    <x v="118"/>
    <x v="118"/>
    <s v="Erkan"/>
    <s v="Kaya"/>
    <x v="1"/>
    <x v="0"/>
    <x v="3"/>
    <x v="1"/>
  </r>
  <r>
    <x v="119"/>
    <x v="119"/>
    <s v="İlhan"/>
    <s v="Alkurt Kayıkçı"/>
    <x v="7"/>
    <x v="2"/>
    <x v="5"/>
    <x v="1"/>
  </r>
  <r>
    <x v="120"/>
    <x v="120"/>
    <s v="Tolunay"/>
    <s v="Günbey"/>
    <x v="4"/>
    <x v="5"/>
    <x v="5"/>
    <x v="2"/>
  </r>
  <r>
    <x v="121"/>
    <x v="121"/>
    <s v="Asudan"/>
    <s v="Tuğçe Öztürkeri"/>
    <x v="5"/>
    <x v="12"/>
    <x v="3"/>
    <x v="1"/>
  </r>
  <r>
    <x v="122"/>
    <x v="122"/>
    <s v="Esen"/>
    <s v="İbrahim Urfalı"/>
    <x v="6"/>
    <x v="8"/>
    <x v="3"/>
    <x v="0"/>
  </r>
  <r>
    <x v="123"/>
    <x v="123"/>
    <s v="Zerin"/>
    <s v="Sürmen Akyol"/>
    <x v="8"/>
    <x v="11"/>
    <x v="2"/>
    <x v="2"/>
  </r>
  <r>
    <x v="124"/>
    <x v="124"/>
    <s v="Enver"/>
    <s v="Özmen"/>
    <x v="1"/>
    <x v="5"/>
    <x v="2"/>
    <x v="0"/>
  </r>
  <r>
    <x v="125"/>
    <x v="125"/>
    <s v="Okan"/>
    <s v="Bayraktar"/>
    <x v="0"/>
    <x v="6"/>
    <x v="6"/>
    <x v="0"/>
  </r>
  <r>
    <x v="126"/>
    <x v="126"/>
    <s v="Yasin"/>
    <s v="Ertem"/>
    <x v="1"/>
    <x v="13"/>
    <x v="4"/>
    <x v="2"/>
  </r>
  <r>
    <x v="127"/>
    <x v="127"/>
    <s v="Kadir"/>
    <s v="Demirtaş"/>
    <x v="2"/>
    <x v="11"/>
    <x v="3"/>
    <x v="1"/>
  </r>
  <r>
    <x v="128"/>
    <x v="128"/>
    <s v="Nurdan"/>
    <s v="Kılıç"/>
    <x v="4"/>
    <x v="13"/>
    <x v="6"/>
    <x v="0"/>
  </r>
  <r>
    <x v="129"/>
    <x v="129"/>
    <s v="Gamze"/>
    <s v="Öğütmen Koç"/>
    <x v="7"/>
    <x v="5"/>
    <x v="2"/>
    <x v="1"/>
  </r>
  <r>
    <x v="130"/>
    <x v="130"/>
    <s v="Serkan"/>
    <s v="Fazlı Alpsan Gökmen"/>
    <x v="5"/>
    <x v="2"/>
    <x v="6"/>
    <x v="2"/>
  </r>
  <r>
    <x v="131"/>
    <x v="131"/>
    <s v="Selma"/>
    <s v="Sözen"/>
    <x v="1"/>
    <x v="7"/>
    <x v="7"/>
    <x v="2"/>
  </r>
  <r>
    <x v="132"/>
    <x v="132"/>
    <s v="Adem"/>
    <s v="Balaban"/>
    <x v="2"/>
    <x v="7"/>
    <x v="1"/>
    <x v="2"/>
  </r>
  <r>
    <x v="133"/>
    <x v="133"/>
    <s v="Cem"/>
    <s v="Topaloğlu"/>
    <x v="2"/>
    <x v="0"/>
    <x v="5"/>
    <x v="2"/>
  </r>
  <r>
    <x v="134"/>
    <x v="134"/>
    <s v="Mukaddes"/>
    <s v="Şen"/>
    <x v="2"/>
    <x v="10"/>
    <x v="5"/>
    <x v="2"/>
  </r>
  <r>
    <x v="135"/>
    <x v="135"/>
    <s v="Övgü"/>
    <s v="Anıl Sarı"/>
    <x v="2"/>
    <x v="13"/>
    <x v="2"/>
    <x v="2"/>
  </r>
  <r>
    <x v="136"/>
    <x v="136"/>
    <s v="Serhan"/>
    <s v="Akdeniz"/>
    <x v="2"/>
    <x v="0"/>
    <x v="0"/>
    <x v="1"/>
  </r>
  <r>
    <x v="137"/>
    <x v="137"/>
    <s v="Berçem"/>
    <s v="Özdemir"/>
    <x v="8"/>
    <x v="11"/>
    <x v="4"/>
    <x v="2"/>
  </r>
  <r>
    <x v="138"/>
    <x v="138"/>
    <s v="Murat"/>
    <s v="Yılmaz"/>
    <x v="8"/>
    <x v="13"/>
    <x v="3"/>
    <x v="1"/>
  </r>
  <r>
    <x v="139"/>
    <x v="139"/>
    <s v="Dinçer"/>
    <s v="Aydın Gayretli Aydın"/>
    <x v="4"/>
    <x v="7"/>
    <x v="3"/>
    <x v="2"/>
  </r>
  <r>
    <x v="140"/>
    <x v="140"/>
    <s v="Özlem"/>
    <s v="Eser"/>
    <x v="0"/>
    <x v="7"/>
    <x v="5"/>
    <x v="1"/>
  </r>
  <r>
    <x v="141"/>
    <x v="141"/>
    <s v="Ergül"/>
    <s v="Sanhal"/>
    <x v="7"/>
    <x v="9"/>
    <x v="3"/>
    <x v="2"/>
  </r>
  <r>
    <x v="142"/>
    <x v="142"/>
    <s v="Alevtina"/>
    <s v="Altınboğa"/>
    <x v="4"/>
    <x v="12"/>
    <x v="1"/>
    <x v="2"/>
  </r>
  <r>
    <x v="143"/>
    <x v="143"/>
    <s v="Osman"/>
    <s v="Ersegun Kişi"/>
    <x v="3"/>
    <x v="0"/>
    <x v="0"/>
    <x v="2"/>
  </r>
  <r>
    <x v="144"/>
    <x v="144"/>
    <s v="Mustafa"/>
    <s v="Kemal Ünsal"/>
    <x v="4"/>
    <x v="0"/>
    <x v="0"/>
    <x v="1"/>
  </r>
  <r>
    <x v="145"/>
    <x v="145"/>
    <s v="Mahmut"/>
    <s v="Nuri Metineren"/>
    <x v="7"/>
    <x v="2"/>
    <x v="7"/>
    <x v="2"/>
  </r>
  <r>
    <x v="146"/>
    <x v="146"/>
    <s v="Hale"/>
    <s v="Kalem"/>
    <x v="1"/>
    <x v="5"/>
    <x v="0"/>
    <x v="2"/>
  </r>
  <r>
    <x v="147"/>
    <x v="147"/>
    <s v="Güneş"/>
    <s v="Onar Şekerci"/>
    <x v="2"/>
    <x v="3"/>
    <x v="6"/>
    <x v="1"/>
  </r>
  <r>
    <x v="148"/>
    <x v="148"/>
    <s v="Muhammet"/>
    <s v="Fatih Bayraktaroğlu"/>
    <x v="8"/>
    <x v="10"/>
    <x v="6"/>
    <x v="1"/>
  </r>
  <r>
    <x v="149"/>
    <x v="149"/>
    <s v="Esra"/>
    <s v="Acar"/>
    <x v="2"/>
    <x v="3"/>
    <x v="5"/>
    <x v="2"/>
  </r>
  <r>
    <x v="150"/>
    <x v="150"/>
    <s v="Pınar"/>
    <s v="Büyükcam"/>
    <x v="6"/>
    <x v="7"/>
    <x v="3"/>
    <x v="2"/>
  </r>
  <r>
    <x v="151"/>
    <x v="151"/>
    <s v="Şahabettin"/>
    <s v="Kaba"/>
    <x v="7"/>
    <x v="4"/>
    <x v="6"/>
    <x v="2"/>
  </r>
  <r>
    <x v="152"/>
    <x v="152"/>
    <s v="Hüseyin"/>
    <s v="Saf"/>
    <x v="4"/>
    <x v="9"/>
    <x v="0"/>
    <x v="2"/>
  </r>
  <r>
    <x v="153"/>
    <x v="153"/>
    <s v="Ömer"/>
    <s v="Öztürk"/>
    <x v="0"/>
    <x v="2"/>
    <x v="5"/>
    <x v="1"/>
  </r>
  <r>
    <x v="154"/>
    <x v="154"/>
    <s v="Evrim"/>
    <s v="Değirmenci"/>
    <x v="4"/>
    <x v="9"/>
    <x v="7"/>
    <x v="0"/>
  </r>
  <r>
    <x v="155"/>
    <x v="155"/>
    <s v="Kürşat"/>
    <s v="Akyol"/>
    <x v="2"/>
    <x v="5"/>
    <x v="6"/>
    <x v="1"/>
  </r>
  <r>
    <x v="156"/>
    <x v="156"/>
    <s v="Gülden"/>
    <s v="Boduroğlu"/>
    <x v="6"/>
    <x v="2"/>
    <x v="1"/>
    <x v="2"/>
  </r>
  <r>
    <x v="157"/>
    <x v="157"/>
    <s v="Serhat"/>
    <s v="Öztürk"/>
    <x v="1"/>
    <x v="11"/>
    <x v="3"/>
    <x v="2"/>
  </r>
  <r>
    <x v="158"/>
    <x v="158"/>
    <s v="Sema"/>
    <s v="Ak"/>
    <x v="2"/>
    <x v="6"/>
    <x v="4"/>
    <x v="0"/>
  </r>
  <r>
    <x v="159"/>
    <x v="159"/>
    <s v="Serkan"/>
    <s v="Fazlı Çetin"/>
    <x v="4"/>
    <x v="4"/>
    <x v="6"/>
    <x v="2"/>
  </r>
  <r>
    <x v="160"/>
    <x v="160"/>
    <s v="Mahmut"/>
    <s v="Nuri Demirtaş"/>
    <x v="8"/>
    <x v="5"/>
    <x v="2"/>
    <x v="2"/>
  </r>
  <r>
    <x v="161"/>
    <x v="161"/>
    <s v="Ayşe"/>
    <s v="Nar"/>
    <x v="3"/>
    <x v="5"/>
    <x v="5"/>
    <x v="1"/>
  </r>
  <r>
    <x v="162"/>
    <x v="162"/>
    <s v="Mine"/>
    <s v="Canacankatan"/>
    <x v="8"/>
    <x v="1"/>
    <x v="5"/>
    <x v="2"/>
  </r>
  <r>
    <x v="163"/>
    <x v="163"/>
    <s v="Ceyda"/>
    <s v="Günay"/>
    <x v="7"/>
    <x v="12"/>
    <x v="1"/>
    <x v="2"/>
  </r>
  <r>
    <x v="164"/>
    <x v="164"/>
    <s v="Sinan"/>
    <s v="Çay"/>
    <x v="6"/>
    <x v="9"/>
    <x v="7"/>
    <x v="2"/>
  </r>
  <r>
    <x v="165"/>
    <x v="165"/>
    <s v="Ergül"/>
    <s v="Uzun"/>
    <x v="0"/>
    <x v="0"/>
    <x v="5"/>
    <x v="2"/>
  </r>
  <r>
    <x v="166"/>
    <x v="166"/>
    <s v="Özgür"/>
    <s v="Özdemir"/>
    <x v="4"/>
    <x v="9"/>
    <x v="0"/>
    <x v="1"/>
  </r>
  <r>
    <x v="167"/>
    <x v="167"/>
    <s v="Vedat"/>
    <s v="Eryavuz"/>
    <x v="4"/>
    <x v="0"/>
    <x v="3"/>
    <x v="1"/>
  </r>
  <r>
    <x v="168"/>
    <x v="168"/>
    <s v="Kenan"/>
    <s v="Gülşan"/>
    <x v="2"/>
    <x v="4"/>
    <x v="5"/>
    <x v="2"/>
  </r>
  <r>
    <x v="169"/>
    <x v="169"/>
    <s v="Nihal"/>
    <s v="Karakoyun"/>
    <x v="8"/>
    <x v="9"/>
    <x v="1"/>
    <x v="2"/>
  </r>
  <r>
    <x v="170"/>
    <x v="170"/>
    <s v="Özlem"/>
    <s v="Uysal"/>
    <x v="7"/>
    <x v="8"/>
    <x v="4"/>
    <x v="2"/>
  </r>
  <r>
    <x v="171"/>
    <x v="171"/>
    <s v="Haşim"/>
    <s v="Onur Arga"/>
    <x v="3"/>
    <x v="5"/>
    <x v="4"/>
    <x v="2"/>
  </r>
  <r>
    <x v="172"/>
    <x v="172"/>
    <s v="Erdal"/>
    <s v="Yurt"/>
    <x v="3"/>
    <x v="10"/>
    <x v="5"/>
    <x v="1"/>
  </r>
  <r>
    <x v="173"/>
    <x v="173"/>
    <s v="Aysel"/>
    <s v="Çatak"/>
    <x v="6"/>
    <x v="2"/>
    <x v="1"/>
    <x v="1"/>
  </r>
  <r>
    <x v="174"/>
    <x v="174"/>
    <s v="Halil"/>
    <s v="İbrahim Mercan"/>
    <x v="4"/>
    <x v="9"/>
    <x v="1"/>
    <x v="2"/>
  </r>
  <r>
    <x v="175"/>
    <x v="175"/>
    <s v="Günay"/>
    <s v="Korkmaz"/>
    <x v="1"/>
    <x v="4"/>
    <x v="6"/>
    <x v="2"/>
  </r>
  <r>
    <x v="176"/>
    <x v="176"/>
    <s v="Tuba"/>
    <s v="Çetinkor"/>
    <x v="4"/>
    <x v="8"/>
    <x v="1"/>
    <x v="2"/>
  </r>
  <r>
    <x v="177"/>
    <x v="177"/>
    <s v="Mutlu"/>
    <s v="Sayın"/>
    <x v="1"/>
    <x v="7"/>
    <x v="4"/>
    <x v="2"/>
  </r>
  <r>
    <x v="178"/>
    <x v="178"/>
    <s v="Mehmet"/>
    <s v="Reşit Yıldız"/>
    <x v="1"/>
    <x v="4"/>
    <x v="3"/>
    <x v="2"/>
  </r>
  <r>
    <x v="179"/>
    <x v="179"/>
    <s v="İbrahim"/>
    <s v="Sari"/>
    <x v="6"/>
    <x v="5"/>
    <x v="2"/>
    <x v="2"/>
  </r>
  <r>
    <x v="180"/>
    <x v="180"/>
    <s v="Mahmut"/>
    <s v="Kılıç"/>
    <x v="5"/>
    <x v="10"/>
    <x v="3"/>
    <x v="2"/>
  </r>
  <r>
    <x v="181"/>
    <x v="181"/>
    <s v="Umut"/>
    <s v="Seda Özen"/>
    <x v="0"/>
    <x v="13"/>
    <x v="4"/>
    <x v="2"/>
  </r>
  <r>
    <x v="182"/>
    <x v="182"/>
    <s v="Gökhan"/>
    <s v="İner Köksal"/>
    <x v="3"/>
    <x v="11"/>
    <x v="1"/>
    <x v="0"/>
  </r>
  <r>
    <x v="183"/>
    <x v="183"/>
    <s v="Fatih"/>
    <s v="Ergülü Eşmen"/>
    <x v="2"/>
    <x v="4"/>
    <x v="0"/>
    <x v="0"/>
  </r>
  <r>
    <x v="184"/>
    <x v="184"/>
    <s v="Neslihan"/>
    <s v="Ünal"/>
    <x v="4"/>
    <x v="13"/>
    <x v="6"/>
    <x v="3"/>
  </r>
  <r>
    <x v="185"/>
    <x v="185"/>
    <s v="Murat"/>
    <s v="Zorlu Karayiğit"/>
    <x v="5"/>
    <x v="7"/>
    <x v="4"/>
    <x v="1"/>
  </r>
  <r>
    <x v="186"/>
    <x v="186"/>
    <s v="Öznur"/>
    <s v="Aydın"/>
    <x v="4"/>
    <x v="10"/>
    <x v="3"/>
    <x v="2"/>
  </r>
  <r>
    <x v="187"/>
    <x v="187"/>
    <s v="Onur"/>
    <s v="Dumlu"/>
    <x v="5"/>
    <x v="12"/>
    <x v="1"/>
    <x v="2"/>
  </r>
  <r>
    <x v="188"/>
    <x v="188"/>
    <s v="Mine"/>
    <s v="Cansu Kartal"/>
    <x v="5"/>
    <x v="13"/>
    <x v="0"/>
    <x v="2"/>
  </r>
  <r>
    <x v="189"/>
    <x v="189"/>
    <s v="Mustafa"/>
    <s v="Şanlıkan"/>
    <x v="2"/>
    <x v="12"/>
    <x v="6"/>
    <x v="1"/>
  </r>
  <r>
    <x v="190"/>
    <x v="190"/>
    <s v="İbrahim"/>
    <s v="Asoğlu"/>
    <x v="1"/>
    <x v="0"/>
    <x v="7"/>
    <x v="1"/>
  </r>
  <r>
    <x v="191"/>
    <x v="191"/>
    <s v="Bilgin"/>
    <s v="Türkay"/>
    <x v="3"/>
    <x v="13"/>
    <x v="2"/>
    <x v="2"/>
  </r>
  <r>
    <x v="192"/>
    <x v="192"/>
    <s v="Derviş"/>
    <s v="Yüzbaşıoğlu"/>
    <x v="3"/>
    <x v="2"/>
    <x v="4"/>
    <x v="2"/>
  </r>
  <r>
    <x v="193"/>
    <x v="193"/>
    <s v="Tuba"/>
    <s v="Genç Talas"/>
    <x v="8"/>
    <x v="13"/>
    <x v="1"/>
    <x v="1"/>
  </r>
  <r>
    <x v="194"/>
    <x v="194"/>
    <s v="Haççe"/>
    <s v="Yavuz"/>
    <x v="3"/>
    <x v="12"/>
    <x v="4"/>
    <x v="1"/>
  </r>
  <r>
    <x v="195"/>
    <x v="195"/>
    <s v="Esra"/>
    <s v="Eşkazan"/>
    <x v="0"/>
    <x v="8"/>
    <x v="7"/>
    <x v="0"/>
  </r>
  <r>
    <x v="196"/>
    <x v="196"/>
    <s v="Jale"/>
    <s v="Saf"/>
    <x v="4"/>
    <x v="2"/>
    <x v="0"/>
    <x v="2"/>
  </r>
  <r>
    <x v="197"/>
    <x v="197"/>
    <s v="İklil"/>
    <s v="Karacan"/>
    <x v="0"/>
    <x v="5"/>
    <x v="1"/>
    <x v="1"/>
  </r>
  <r>
    <x v="198"/>
    <x v="198"/>
    <s v="Elif"/>
    <s v="Gündüz"/>
    <x v="8"/>
    <x v="13"/>
    <x v="0"/>
    <x v="0"/>
  </r>
  <r>
    <x v="199"/>
    <x v="199"/>
    <s v="Hayati"/>
    <s v="Atay"/>
    <x v="1"/>
    <x v="3"/>
    <x v="0"/>
    <x v="0"/>
  </r>
  <r>
    <x v="200"/>
    <x v="200"/>
    <s v="Birsen"/>
    <s v="Gündoğdu"/>
    <x v="2"/>
    <x v="3"/>
    <x v="7"/>
    <x v="0"/>
  </r>
  <r>
    <x v="201"/>
    <x v="201"/>
    <s v="Tevfik"/>
    <s v="Özgün Çatak"/>
    <x v="8"/>
    <x v="6"/>
    <x v="7"/>
    <x v="2"/>
  </r>
  <r>
    <x v="202"/>
    <x v="202"/>
    <s v="Serhat"/>
    <s v="Urfalı"/>
    <x v="2"/>
    <x v="5"/>
    <x v="3"/>
    <x v="0"/>
  </r>
  <r>
    <x v="203"/>
    <x v="203"/>
    <s v="Fatma"/>
    <s v="Çelik"/>
    <x v="6"/>
    <x v="12"/>
    <x v="3"/>
    <x v="0"/>
  </r>
  <r>
    <x v="204"/>
    <x v="204"/>
    <s v="Pınar"/>
    <s v="Balal"/>
    <x v="4"/>
    <x v="1"/>
    <x v="1"/>
    <x v="2"/>
  </r>
  <r>
    <x v="205"/>
    <x v="205"/>
    <s v="Mehmet"/>
    <s v="Hilmi Öğütmen Koç"/>
    <x v="6"/>
    <x v="5"/>
    <x v="0"/>
    <x v="2"/>
  </r>
  <r>
    <x v="206"/>
    <x v="206"/>
    <s v="Hayati"/>
    <s v="Ünlü"/>
    <x v="0"/>
    <x v="12"/>
    <x v="1"/>
    <x v="0"/>
  </r>
  <r>
    <x v="207"/>
    <x v="207"/>
    <s v="Nuran"/>
    <s v="Öziş"/>
    <x v="3"/>
    <x v="13"/>
    <x v="6"/>
    <x v="2"/>
  </r>
  <r>
    <x v="208"/>
    <x v="208"/>
    <s v="Muhammet"/>
    <s v="Fatih Dilli"/>
    <x v="6"/>
    <x v="5"/>
    <x v="4"/>
    <x v="2"/>
  </r>
  <r>
    <x v="209"/>
    <x v="209"/>
    <s v="Elif"/>
    <s v="Filiz"/>
    <x v="3"/>
    <x v="13"/>
    <x v="6"/>
    <x v="2"/>
  </r>
  <r>
    <x v="210"/>
    <x v="210"/>
    <s v="Aydın"/>
    <s v="Merden"/>
    <x v="3"/>
    <x v="2"/>
    <x v="3"/>
    <x v="3"/>
  </r>
  <r>
    <x v="211"/>
    <x v="211"/>
    <s v="Emre"/>
    <s v="Aksoy"/>
    <x v="8"/>
    <x v="3"/>
    <x v="0"/>
    <x v="2"/>
  </r>
  <r>
    <x v="212"/>
    <x v="212"/>
    <s v="Mahmut"/>
    <s v="Nuri Tavşan"/>
    <x v="4"/>
    <x v="1"/>
    <x v="6"/>
    <x v="2"/>
  </r>
  <r>
    <x v="213"/>
    <x v="213"/>
    <s v="Münever"/>
    <s v="Baloğlu"/>
    <x v="8"/>
    <x v="11"/>
    <x v="0"/>
    <x v="2"/>
  </r>
  <r>
    <x v="214"/>
    <x v="214"/>
    <s v="Ferhan"/>
    <s v="Akdeniz"/>
    <x v="5"/>
    <x v="11"/>
    <x v="2"/>
    <x v="1"/>
  </r>
  <r>
    <x v="215"/>
    <x v="215"/>
    <s v="İhsan"/>
    <s v="Evrenos"/>
    <x v="4"/>
    <x v="1"/>
    <x v="0"/>
    <x v="1"/>
  </r>
  <r>
    <x v="216"/>
    <x v="216"/>
    <s v="Nevriye"/>
    <s v="Duman"/>
    <x v="3"/>
    <x v="13"/>
    <x v="5"/>
    <x v="1"/>
  </r>
  <r>
    <x v="217"/>
    <x v="217"/>
    <s v="Latife"/>
    <s v="Havas"/>
    <x v="3"/>
    <x v="6"/>
    <x v="4"/>
    <x v="0"/>
  </r>
  <r>
    <x v="218"/>
    <x v="218"/>
    <s v="Ayşe"/>
    <s v="Akcan Paksoy"/>
    <x v="8"/>
    <x v="4"/>
    <x v="0"/>
    <x v="2"/>
  </r>
  <r>
    <x v="219"/>
    <x v="219"/>
    <s v="Ömer"/>
    <s v="Dokumacıoğlu"/>
    <x v="0"/>
    <x v="13"/>
    <x v="1"/>
    <x v="2"/>
  </r>
  <r>
    <x v="220"/>
    <x v="220"/>
    <s v="Seda"/>
    <s v="Baygeldi"/>
    <x v="1"/>
    <x v="3"/>
    <x v="0"/>
    <x v="1"/>
  </r>
  <r>
    <x v="221"/>
    <x v="221"/>
    <s v="Arda"/>
    <s v="Özen"/>
    <x v="3"/>
    <x v="4"/>
    <x v="2"/>
    <x v="2"/>
  </r>
  <r>
    <x v="222"/>
    <x v="222"/>
    <s v="Emine"/>
    <s v="Ardıç"/>
    <x v="0"/>
    <x v="11"/>
    <x v="4"/>
    <x v="2"/>
  </r>
  <r>
    <x v="223"/>
    <x v="223"/>
    <s v="Birsen"/>
    <s v="Koç"/>
    <x v="8"/>
    <x v="8"/>
    <x v="7"/>
    <x v="1"/>
  </r>
  <r>
    <x v="224"/>
    <x v="224"/>
    <s v="Mehmet"/>
    <s v="Burhan Olpak"/>
    <x v="5"/>
    <x v="11"/>
    <x v="5"/>
    <x v="0"/>
  </r>
  <r>
    <x v="225"/>
    <x v="225"/>
    <s v="Emel"/>
    <s v="Taşkıran"/>
    <x v="7"/>
    <x v="6"/>
    <x v="3"/>
    <x v="2"/>
  </r>
  <r>
    <x v="226"/>
    <x v="226"/>
    <s v="Zehra"/>
    <s v="Erdem"/>
    <x v="0"/>
    <x v="7"/>
    <x v="3"/>
    <x v="2"/>
  </r>
  <r>
    <x v="227"/>
    <x v="227"/>
    <s v="Ahmet"/>
    <s v="Serkan Murt"/>
    <x v="0"/>
    <x v="13"/>
    <x v="4"/>
    <x v="0"/>
  </r>
  <r>
    <x v="228"/>
    <x v="228"/>
    <s v="Bengühan"/>
    <s v="Siğa"/>
    <x v="8"/>
    <x v="4"/>
    <x v="4"/>
    <x v="2"/>
  </r>
  <r>
    <x v="229"/>
    <x v="229"/>
    <s v="Elif"/>
    <s v="Şaşmaz"/>
    <x v="1"/>
    <x v="10"/>
    <x v="1"/>
    <x v="1"/>
  </r>
  <r>
    <x v="230"/>
    <x v="230"/>
    <s v="Emine"/>
    <s v="Karacan Erşekerci"/>
    <x v="4"/>
    <x v="9"/>
    <x v="6"/>
    <x v="3"/>
  </r>
  <r>
    <x v="231"/>
    <x v="231"/>
    <s v="Şirin"/>
    <s v="Olgaç"/>
    <x v="3"/>
    <x v="7"/>
    <x v="0"/>
    <x v="0"/>
  </r>
  <r>
    <x v="232"/>
    <x v="232"/>
    <s v="Münever"/>
    <s v="Aykan"/>
    <x v="7"/>
    <x v="6"/>
    <x v="5"/>
    <x v="2"/>
  </r>
  <r>
    <x v="233"/>
    <x v="233"/>
    <s v="Hasibe"/>
    <s v="Sak"/>
    <x v="2"/>
    <x v="1"/>
    <x v="5"/>
    <x v="1"/>
  </r>
  <r>
    <x v="234"/>
    <x v="234"/>
    <s v="Adem"/>
    <s v="Güven Meşe"/>
    <x v="3"/>
    <x v="11"/>
    <x v="6"/>
    <x v="1"/>
  </r>
  <r>
    <x v="235"/>
    <x v="235"/>
    <s v="Songül"/>
    <s v="Kızanoğlu"/>
    <x v="4"/>
    <x v="4"/>
    <x v="6"/>
    <x v="1"/>
  </r>
  <r>
    <x v="236"/>
    <x v="236"/>
    <s v="Ercan"/>
    <s v="Kanık Yüksek"/>
    <x v="1"/>
    <x v="6"/>
    <x v="3"/>
    <x v="2"/>
  </r>
  <r>
    <x v="237"/>
    <x v="237"/>
    <s v="Mahmut"/>
    <s v="Çakır"/>
    <x v="5"/>
    <x v="4"/>
    <x v="3"/>
    <x v="2"/>
  </r>
  <r>
    <x v="238"/>
    <x v="238"/>
    <s v="Ender"/>
    <s v="İlkay"/>
    <x v="4"/>
    <x v="13"/>
    <x v="2"/>
    <x v="0"/>
  </r>
  <r>
    <x v="239"/>
    <x v="239"/>
    <s v="Mahmut"/>
    <s v="Özan Sanhal"/>
    <x v="2"/>
    <x v="8"/>
    <x v="2"/>
    <x v="2"/>
  </r>
  <r>
    <x v="240"/>
    <x v="240"/>
    <s v="Demet"/>
    <s v="Toprak"/>
    <x v="0"/>
    <x v="8"/>
    <x v="3"/>
    <x v="2"/>
  </r>
  <r>
    <x v="241"/>
    <x v="241"/>
    <s v="Bedriye"/>
    <s v="Müge Özcan"/>
    <x v="3"/>
    <x v="10"/>
    <x v="1"/>
    <x v="2"/>
  </r>
  <r>
    <x v="242"/>
    <x v="242"/>
    <s v="Betül"/>
    <s v="Yılmaz"/>
    <x v="4"/>
    <x v="2"/>
    <x v="2"/>
    <x v="1"/>
  </r>
  <r>
    <x v="243"/>
    <x v="243"/>
    <s v="Burçin"/>
    <s v="Öztürk"/>
    <x v="1"/>
    <x v="12"/>
    <x v="7"/>
    <x v="2"/>
  </r>
  <r>
    <x v="244"/>
    <x v="244"/>
    <s v="Neşe"/>
    <s v="Kurt"/>
    <x v="7"/>
    <x v="6"/>
    <x v="4"/>
    <x v="1"/>
  </r>
  <r>
    <x v="245"/>
    <x v="245"/>
    <s v="Pınar"/>
    <s v="Murt"/>
    <x v="6"/>
    <x v="1"/>
    <x v="5"/>
    <x v="2"/>
  </r>
  <r>
    <x v="246"/>
    <x v="246"/>
    <s v="Ramazan"/>
    <s v="Şaşmaz"/>
    <x v="7"/>
    <x v="12"/>
    <x v="7"/>
    <x v="2"/>
  </r>
  <r>
    <x v="247"/>
    <x v="247"/>
    <s v="Tuba"/>
    <s v="Orhon"/>
    <x v="0"/>
    <x v="4"/>
    <x v="0"/>
    <x v="2"/>
  </r>
  <r>
    <x v="248"/>
    <x v="248"/>
    <s v="Nizamettin"/>
    <s v="Karacan"/>
    <x v="2"/>
    <x v="12"/>
    <x v="4"/>
    <x v="2"/>
  </r>
  <r>
    <x v="249"/>
    <x v="249"/>
    <s v="Aycan"/>
    <s v="Özden Söker"/>
    <x v="5"/>
    <x v="8"/>
    <x v="6"/>
    <x v="2"/>
  </r>
  <r>
    <x v="250"/>
    <x v="250"/>
    <s v="Mustafa"/>
    <s v="Büyükcam"/>
    <x v="5"/>
    <x v="0"/>
    <x v="2"/>
    <x v="1"/>
  </r>
  <r>
    <x v="251"/>
    <x v="251"/>
    <s v="Ercan"/>
    <s v="Şirzai"/>
    <x v="3"/>
    <x v="3"/>
    <x v="5"/>
    <x v="2"/>
  </r>
  <r>
    <x v="252"/>
    <x v="252"/>
    <s v="Volkan"/>
    <s v="Akgül"/>
    <x v="5"/>
    <x v="5"/>
    <x v="1"/>
    <x v="2"/>
  </r>
  <r>
    <x v="253"/>
    <x v="253"/>
    <s v="Emrah"/>
    <s v="Kemal Erdem"/>
    <x v="8"/>
    <x v="13"/>
    <x v="2"/>
    <x v="2"/>
  </r>
  <r>
    <x v="254"/>
    <x v="254"/>
    <s v="Derya"/>
    <s v="Güvenç"/>
    <x v="6"/>
    <x v="6"/>
    <x v="4"/>
    <x v="1"/>
  </r>
  <r>
    <x v="255"/>
    <x v="255"/>
    <s v="Mustafa"/>
    <s v="Duman"/>
    <x v="0"/>
    <x v="3"/>
    <x v="1"/>
    <x v="1"/>
  </r>
  <r>
    <x v="256"/>
    <x v="256"/>
    <s v="Süleyman"/>
    <s v="Şirzai"/>
    <x v="8"/>
    <x v="13"/>
    <x v="5"/>
    <x v="0"/>
  </r>
  <r>
    <x v="257"/>
    <x v="257"/>
    <s v="Demet"/>
    <s v="Bolat"/>
    <x v="3"/>
    <x v="0"/>
    <x v="6"/>
    <x v="2"/>
  </r>
  <r>
    <x v="258"/>
    <x v="258"/>
    <s v="Ulaş"/>
    <s v="Aslan"/>
    <x v="7"/>
    <x v="7"/>
    <x v="4"/>
    <x v="2"/>
  </r>
  <r>
    <x v="259"/>
    <x v="259"/>
    <s v="Gülsen"/>
    <s v="Göksoy"/>
    <x v="4"/>
    <x v="5"/>
    <x v="6"/>
    <x v="2"/>
  </r>
  <r>
    <x v="260"/>
    <x v="260"/>
    <s v="İbrahim"/>
    <s v="Tayfun Urfalı"/>
    <x v="0"/>
    <x v="1"/>
    <x v="0"/>
    <x v="2"/>
  </r>
  <r>
    <x v="261"/>
    <x v="261"/>
    <s v="İsa"/>
    <s v="Merden"/>
    <x v="4"/>
    <x v="10"/>
    <x v="2"/>
    <x v="2"/>
  </r>
  <r>
    <x v="262"/>
    <x v="262"/>
    <s v="Derviş"/>
    <s v="Gedik Yılmaz"/>
    <x v="2"/>
    <x v="11"/>
    <x v="7"/>
    <x v="2"/>
  </r>
  <r>
    <x v="263"/>
    <x v="263"/>
    <s v="Mahmut"/>
    <s v="Nuri Güngör"/>
    <x v="8"/>
    <x v="11"/>
    <x v="2"/>
    <x v="2"/>
  </r>
  <r>
    <x v="264"/>
    <x v="264"/>
    <s v="Tuğra"/>
    <s v="Soydan"/>
    <x v="6"/>
    <x v="8"/>
    <x v="4"/>
    <x v="0"/>
  </r>
  <r>
    <x v="265"/>
    <x v="265"/>
    <s v="Mücahit"/>
    <s v="Taş"/>
    <x v="2"/>
    <x v="12"/>
    <x v="4"/>
    <x v="0"/>
  </r>
  <r>
    <x v="266"/>
    <x v="266"/>
    <s v="Fatih"/>
    <s v="Nazmi Eren"/>
    <x v="6"/>
    <x v="7"/>
    <x v="2"/>
    <x v="1"/>
  </r>
  <r>
    <x v="267"/>
    <x v="267"/>
    <s v="Mehtap"/>
    <s v="Küçükgöncü"/>
    <x v="2"/>
    <x v="11"/>
    <x v="1"/>
    <x v="1"/>
  </r>
  <r>
    <x v="268"/>
    <x v="268"/>
    <s v="Ayşe"/>
    <s v="Gül Hancıoğlu"/>
    <x v="8"/>
    <x v="0"/>
    <x v="1"/>
    <x v="1"/>
  </r>
  <r>
    <x v="269"/>
    <x v="269"/>
    <s v="Ünsal"/>
    <s v="Önder Siviş"/>
    <x v="3"/>
    <x v="9"/>
    <x v="3"/>
    <x v="2"/>
  </r>
  <r>
    <x v="270"/>
    <x v="270"/>
    <s v="Serhat"/>
    <s v="Yılmaz İnal"/>
    <x v="2"/>
    <x v="0"/>
    <x v="3"/>
    <x v="2"/>
  </r>
  <r>
    <x v="271"/>
    <x v="271"/>
    <s v="Fuat"/>
    <s v="Öcalan"/>
    <x v="8"/>
    <x v="7"/>
    <x v="2"/>
    <x v="2"/>
  </r>
  <r>
    <x v="272"/>
    <x v="272"/>
    <s v="Mücahit"/>
    <s v="Yılmaz"/>
    <x v="3"/>
    <x v="9"/>
    <x v="4"/>
    <x v="2"/>
  </r>
  <r>
    <x v="273"/>
    <x v="273"/>
    <s v="Meltem"/>
    <s v="Aksel"/>
    <x v="4"/>
    <x v="6"/>
    <x v="6"/>
    <x v="1"/>
  </r>
  <r>
    <x v="274"/>
    <x v="274"/>
    <s v="Cihan"/>
    <s v="Karaköse"/>
    <x v="5"/>
    <x v="2"/>
    <x v="4"/>
    <x v="2"/>
  </r>
  <r>
    <x v="275"/>
    <x v="275"/>
    <s v="Emine"/>
    <s v="Hıdıroğlu"/>
    <x v="5"/>
    <x v="12"/>
    <x v="2"/>
    <x v="1"/>
  </r>
  <r>
    <x v="276"/>
    <x v="276"/>
    <s v="Bengü"/>
    <s v="Demirhan"/>
    <x v="2"/>
    <x v="7"/>
    <x v="1"/>
    <x v="0"/>
  </r>
  <r>
    <x v="277"/>
    <x v="277"/>
    <s v="İlker"/>
    <s v="Müezzinoğlu"/>
    <x v="2"/>
    <x v="8"/>
    <x v="6"/>
    <x v="0"/>
  </r>
  <r>
    <x v="278"/>
    <x v="278"/>
    <s v="Ergün"/>
    <s v="Akyol"/>
    <x v="3"/>
    <x v="11"/>
    <x v="6"/>
    <x v="1"/>
  </r>
  <r>
    <x v="279"/>
    <x v="279"/>
    <s v="Nevroz"/>
    <s v="Gerdan"/>
    <x v="1"/>
    <x v="8"/>
    <x v="6"/>
    <x v="2"/>
  </r>
  <r>
    <x v="280"/>
    <x v="280"/>
    <s v="Ayşe"/>
    <s v="Akyol"/>
    <x v="5"/>
    <x v="10"/>
    <x v="4"/>
    <x v="2"/>
  </r>
  <r>
    <x v="281"/>
    <x v="281"/>
    <s v="Mustafa"/>
    <s v="Kürşat Kaya"/>
    <x v="1"/>
    <x v="8"/>
    <x v="2"/>
    <x v="2"/>
  </r>
  <r>
    <x v="282"/>
    <x v="282"/>
    <s v="Funda"/>
    <s v="Bektaş"/>
    <x v="7"/>
    <x v="11"/>
    <x v="7"/>
    <x v="2"/>
  </r>
  <r>
    <x v="283"/>
    <x v="283"/>
    <s v="Ümit"/>
    <s v="Özkurt"/>
    <x v="7"/>
    <x v="6"/>
    <x v="3"/>
    <x v="1"/>
  </r>
  <r>
    <x v="284"/>
    <x v="284"/>
    <s v="Nihal"/>
    <s v="Kocakaya Altundal"/>
    <x v="3"/>
    <x v="2"/>
    <x v="3"/>
    <x v="3"/>
  </r>
  <r>
    <x v="285"/>
    <x v="285"/>
    <s v="İbrahim"/>
    <s v="Akdeniz"/>
    <x v="1"/>
    <x v="13"/>
    <x v="3"/>
    <x v="2"/>
  </r>
  <r>
    <x v="286"/>
    <x v="286"/>
    <s v="Bilgin"/>
    <s v="Öztürk"/>
    <x v="6"/>
    <x v="6"/>
    <x v="0"/>
    <x v="2"/>
  </r>
  <r>
    <x v="287"/>
    <x v="287"/>
    <s v="Fuat"/>
    <s v="Şeliman"/>
    <x v="4"/>
    <x v="7"/>
    <x v="3"/>
    <x v="2"/>
  </r>
  <r>
    <x v="288"/>
    <x v="288"/>
    <s v="Mesut"/>
    <s v="Vural"/>
    <x v="7"/>
    <x v="0"/>
    <x v="7"/>
    <x v="1"/>
  </r>
  <r>
    <x v="289"/>
    <x v="289"/>
    <s v="Burak"/>
    <s v="Gümüşay"/>
    <x v="0"/>
    <x v="10"/>
    <x v="5"/>
    <x v="2"/>
  </r>
  <r>
    <x v="290"/>
    <x v="290"/>
    <s v="Kenan"/>
    <s v="Ahmet Küfeciler"/>
    <x v="4"/>
    <x v="2"/>
    <x v="0"/>
    <x v="0"/>
  </r>
  <r>
    <x v="291"/>
    <x v="291"/>
    <s v="Gülbahar"/>
    <s v="Alay"/>
    <x v="0"/>
    <x v="3"/>
    <x v="1"/>
    <x v="4"/>
  </r>
  <r>
    <x v="292"/>
    <x v="292"/>
    <s v="Sibel"/>
    <s v="Şanlıkan"/>
    <x v="1"/>
    <x v="0"/>
    <x v="5"/>
    <x v="0"/>
  </r>
  <r>
    <x v="293"/>
    <x v="293"/>
    <s v="Serdar"/>
    <s v="Büküm"/>
    <x v="0"/>
    <x v="12"/>
    <x v="3"/>
    <x v="1"/>
  </r>
  <r>
    <x v="294"/>
    <x v="294"/>
    <s v="Gülay"/>
    <s v="Çelik"/>
    <x v="5"/>
    <x v="4"/>
    <x v="1"/>
    <x v="1"/>
  </r>
  <r>
    <x v="295"/>
    <x v="295"/>
    <s v="Ahmet"/>
    <s v="Küçükgöncü"/>
    <x v="3"/>
    <x v="0"/>
    <x v="5"/>
    <x v="0"/>
  </r>
  <r>
    <x v="296"/>
    <x v="296"/>
    <s v="Hande"/>
    <s v="Öztürk"/>
    <x v="3"/>
    <x v="0"/>
    <x v="5"/>
    <x v="2"/>
  </r>
  <r>
    <x v="297"/>
    <x v="297"/>
    <s v="Jale"/>
    <s v="Karakuş"/>
    <x v="3"/>
    <x v="6"/>
    <x v="2"/>
    <x v="0"/>
  </r>
  <r>
    <x v="298"/>
    <x v="298"/>
    <s v="Serkan"/>
    <s v="Ayhan"/>
    <x v="5"/>
    <x v="6"/>
    <x v="2"/>
    <x v="2"/>
  </r>
  <r>
    <x v="299"/>
    <x v="299"/>
    <s v="Mustafa"/>
    <s v="Nafiz Eren"/>
    <x v="2"/>
    <x v="3"/>
    <x v="6"/>
    <x v="0"/>
  </r>
  <r>
    <x v="300"/>
    <x v="300"/>
    <s v="Çetin"/>
    <s v="Dilek"/>
    <x v="1"/>
    <x v="4"/>
    <x v="1"/>
    <x v="2"/>
  </r>
  <r>
    <x v="301"/>
    <x v="301"/>
    <s v="Filiz"/>
    <s v="Özdemir"/>
    <x v="6"/>
    <x v="11"/>
    <x v="7"/>
    <x v="2"/>
  </r>
  <r>
    <x v="302"/>
    <x v="302"/>
    <s v="Berfin"/>
    <s v="Can Sürüm"/>
    <x v="4"/>
    <x v="10"/>
    <x v="4"/>
    <x v="2"/>
  </r>
  <r>
    <x v="303"/>
    <x v="303"/>
    <s v="Gökhan"/>
    <s v="Demirel"/>
    <x v="4"/>
    <x v="2"/>
    <x v="1"/>
    <x v="0"/>
  </r>
  <r>
    <x v="304"/>
    <x v="304"/>
    <s v="Emre"/>
    <s v="Kırış"/>
    <x v="5"/>
    <x v="1"/>
    <x v="6"/>
    <x v="1"/>
  </r>
  <r>
    <x v="305"/>
    <x v="305"/>
    <s v="İbrahim"/>
    <s v="Barış Yüzbaşıoğlu"/>
    <x v="3"/>
    <x v="13"/>
    <x v="0"/>
    <x v="2"/>
  </r>
  <r>
    <x v="306"/>
    <x v="306"/>
    <s v="Murat"/>
    <s v="Vural"/>
    <x v="5"/>
    <x v="8"/>
    <x v="2"/>
    <x v="0"/>
  </r>
  <r>
    <x v="307"/>
    <x v="307"/>
    <s v="Feyza"/>
    <s v="Yücel"/>
    <x v="4"/>
    <x v="11"/>
    <x v="1"/>
    <x v="1"/>
  </r>
  <r>
    <x v="308"/>
    <x v="308"/>
    <s v="Fatma"/>
    <s v="Ece Biçer"/>
    <x v="5"/>
    <x v="11"/>
    <x v="5"/>
    <x v="1"/>
  </r>
  <r>
    <x v="309"/>
    <x v="309"/>
    <s v="Hande"/>
    <s v="Emre"/>
    <x v="0"/>
    <x v="8"/>
    <x v="6"/>
    <x v="0"/>
  </r>
  <r>
    <x v="310"/>
    <x v="310"/>
    <s v="Irazca"/>
    <s v="Tanrıverdi Yılmaz"/>
    <x v="8"/>
    <x v="0"/>
    <x v="7"/>
    <x v="1"/>
  </r>
  <r>
    <x v="311"/>
    <x v="311"/>
    <s v="Mehmet"/>
    <s v="Gökçe Gözcü"/>
    <x v="8"/>
    <x v="5"/>
    <x v="3"/>
    <x v="2"/>
  </r>
  <r>
    <x v="312"/>
    <x v="312"/>
    <s v="Osman"/>
    <s v="Ayas"/>
    <x v="0"/>
    <x v="7"/>
    <x v="3"/>
    <x v="1"/>
  </r>
  <r>
    <x v="313"/>
    <x v="313"/>
    <s v="Serkan"/>
    <s v="Yazak"/>
    <x v="1"/>
    <x v="4"/>
    <x v="6"/>
    <x v="1"/>
  </r>
  <r>
    <x v="314"/>
    <x v="314"/>
    <s v="Mete"/>
    <s v="Şen Tanrıkulu"/>
    <x v="0"/>
    <x v="9"/>
    <x v="1"/>
    <x v="0"/>
  </r>
  <r>
    <x v="315"/>
    <x v="315"/>
    <s v="İsmail"/>
    <s v="Yıldırım"/>
    <x v="1"/>
    <x v="4"/>
    <x v="1"/>
    <x v="2"/>
  </r>
  <r>
    <x v="316"/>
    <x v="316"/>
    <s v="Onur"/>
    <s v="Kadir Ergülü Eşmen"/>
    <x v="4"/>
    <x v="4"/>
    <x v="5"/>
    <x v="1"/>
  </r>
  <r>
    <x v="317"/>
    <x v="317"/>
    <s v="Adem"/>
    <s v="Babuş"/>
    <x v="5"/>
    <x v="0"/>
    <x v="1"/>
    <x v="0"/>
  </r>
  <r>
    <x v="318"/>
    <x v="318"/>
    <s v="Zeynep"/>
    <s v="Gölemez"/>
    <x v="6"/>
    <x v="8"/>
    <x v="3"/>
    <x v="2"/>
  </r>
  <r>
    <x v="319"/>
    <x v="319"/>
    <s v="Gonca"/>
    <s v="Balal"/>
    <x v="3"/>
    <x v="4"/>
    <x v="2"/>
    <x v="1"/>
  </r>
  <r>
    <x v="320"/>
    <x v="320"/>
    <s v="Özlem"/>
    <s v="Adanır"/>
    <x v="4"/>
    <x v="0"/>
    <x v="1"/>
    <x v="2"/>
  </r>
  <r>
    <x v="321"/>
    <x v="321"/>
    <s v="Ahmet"/>
    <s v="Emre Bereket"/>
    <x v="4"/>
    <x v="3"/>
    <x v="1"/>
    <x v="1"/>
  </r>
  <r>
    <x v="322"/>
    <x v="322"/>
    <s v="Hüseyin"/>
    <s v="Cahit Sezgin"/>
    <x v="5"/>
    <x v="1"/>
    <x v="1"/>
    <x v="0"/>
  </r>
  <r>
    <x v="323"/>
    <x v="323"/>
    <s v="Berfin"/>
    <s v="Küfeciler"/>
    <x v="8"/>
    <x v="11"/>
    <x v="1"/>
    <x v="2"/>
  </r>
  <r>
    <x v="324"/>
    <x v="324"/>
    <s v="Semih"/>
    <s v="Gerilmez"/>
    <x v="4"/>
    <x v="12"/>
    <x v="4"/>
    <x v="1"/>
  </r>
  <r>
    <x v="325"/>
    <x v="325"/>
    <s v="Emine"/>
    <s v="Ardıç"/>
    <x v="4"/>
    <x v="2"/>
    <x v="3"/>
    <x v="1"/>
  </r>
  <r>
    <x v="326"/>
    <x v="326"/>
    <s v="Mustafa"/>
    <s v="Gürhan Yurt"/>
    <x v="7"/>
    <x v="2"/>
    <x v="7"/>
    <x v="1"/>
  </r>
  <r>
    <x v="327"/>
    <x v="327"/>
    <s v="Mustafa"/>
    <s v="Şatır Ertem"/>
    <x v="0"/>
    <x v="6"/>
    <x v="2"/>
    <x v="1"/>
  </r>
  <r>
    <x v="328"/>
    <x v="328"/>
    <s v="Muhammet"/>
    <s v="Murat Özkan"/>
    <x v="0"/>
    <x v="8"/>
    <x v="1"/>
    <x v="2"/>
  </r>
  <r>
    <x v="329"/>
    <x v="329"/>
    <s v="Arzu"/>
    <s v="Yağcı"/>
    <x v="4"/>
    <x v="4"/>
    <x v="4"/>
    <x v="2"/>
  </r>
  <r>
    <x v="330"/>
    <x v="330"/>
    <s v="Gülname"/>
    <s v="Özdemir"/>
    <x v="6"/>
    <x v="2"/>
    <x v="2"/>
    <x v="1"/>
  </r>
  <r>
    <x v="331"/>
    <x v="331"/>
    <s v="Mübeccel"/>
    <s v="Akbaş Öncel"/>
    <x v="0"/>
    <x v="7"/>
    <x v="1"/>
    <x v="2"/>
  </r>
  <r>
    <x v="332"/>
    <x v="332"/>
    <s v="Reşat"/>
    <s v="Kaya"/>
    <x v="6"/>
    <x v="9"/>
    <x v="3"/>
    <x v="1"/>
  </r>
  <r>
    <x v="333"/>
    <x v="333"/>
    <s v="Saliha"/>
    <s v="Akkaya"/>
    <x v="2"/>
    <x v="9"/>
    <x v="5"/>
    <x v="4"/>
  </r>
  <r>
    <x v="334"/>
    <x v="334"/>
    <s v="Mümüne"/>
    <s v="Saraçoğlu Çekiç"/>
    <x v="3"/>
    <x v="0"/>
    <x v="0"/>
    <x v="2"/>
  </r>
  <r>
    <x v="335"/>
    <x v="335"/>
    <s v="Kalender"/>
    <s v="Yarar"/>
    <x v="7"/>
    <x v="8"/>
    <x v="4"/>
    <x v="0"/>
  </r>
  <r>
    <x v="336"/>
    <x v="336"/>
    <s v="Utku"/>
    <s v="Şeliman"/>
    <x v="2"/>
    <x v="1"/>
    <x v="7"/>
    <x v="2"/>
  </r>
  <r>
    <x v="337"/>
    <x v="337"/>
    <s v="Seda"/>
    <s v="Demirtaş"/>
    <x v="4"/>
    <x v="11"/>
    <x v="2"/>
    <x v="2"/>
  </r>
  <r>
    <x v="338"/>
    <x v="338"/>
    <s v="Bilge"/>
    <s v="Akın"/>
    <x v="6"/>
    <x v="5"/>
    <x v="0"/>
    <x v="2"/>
  </r>
  <r>
    <x v="339"/>
    <x v="339"/>
    <s v="Tuğba"/>
    <s v="Yegen Yılmaz"/>
    <x v="1"/>
    <x v="6"/>
    <x v="5"/>
    <x v="0"/>
  </r>
  <r>
    <x v="340"/>
    <x v="340"/>
    <s v="Eray"/>
    <s v="Cılız Basheer"/>
    <x v="0"/>
    <x v="12"/>
    <x v="6"/>
    <x v="2"/>
  </r>
  <r>
    <x v="341"/>
    <x v="341"/>
    <s v="Ali"/>
    <s v="Çetin"/>
    <x v="1"/>
    <x v="11"/>
    <x v="4"/>
    <x v="2"/>
  </r>
  <r>
    <x v="342"/>
    <x v="342"/>
    <s v="Aykut"/>
    <s v="Baloğlu"/>
    <x v="1"/>
    <x v="13"/>
    <x v="6"/>
    <x v="2"/>
  </r>
  <r>
    <x v="343"/>
    <x v="343"/>
    <s v="Kürşat"/>
    <s v="Kireççi"/>
    <x v="5"/>
    <x v="10"/>
    <x v="6"/>
    <x v="0"/>
  </r>
  <r>
    <x v="344"/>
    <x v="344"/>
    <s v="Mücahit"/>
    <s v="Destegül"/>
    <x v="0"/>
    <x v="4"/>
    <x v="2"/>
    <x v="2"/>
  </r>
  <r>
    <x v="345"/>
    <x v="345"/>
    <s v="Mehmet"/>
    <s v="Akgül"/>
    <x v="2"/>
    <x v="4"/>
    <x v="6"/>
    <x v="0"/>
  </r>
  <r>
    <x v="346"/>
    <x v="346"/>
    <s v="Gökay"/>
    <s v="Genç"/>
    <x v="7"/>
    <x v="12"/>
    <x v="1"/>
    <x v="2"/>
  </r>
  <r>
    <x v="347"/>
    <x v="347"/>
    <s v="Zehra"/>
    <s v="Uygur"/>
    <x v="2"/>
    <x v="7"/>
    <x v="2"/>
    <x v="0"/>
  </r>
  <r>
    <x v="348"/>
    <x v="348"/>
    <s v="Tuğsem"/>
    <s v="İçbay"/>
    <x v="5"/>
    <x v="4"/>
    <x v="2"/>
    <x v="2"/>
  </r>
  <r>
    <x v="349"/>
    <x v="349"/>
    <s v="İlker"/>
    <s v="Kaya"/>
    <x v="4"/>
    <x v="6"/>
    <x v="3"/>
    <x v="2"/>
  </r>
  <r>
    <x v="350"/>
    <x v="350"/>
    <s v="Evrim"/>
    <s v="Özdemir"/>
    <x v="5"/>
    <x v="12"/>
    <x v="7"/>
    <x v="2"/>
  </r>
  <r>
    <x v="351"/>
    <x v="351"/>
    <s v="Faruk"/>
    <s v="Köroğlu"/>
    <x v="5"/>
    <x v="2"/>
    <x v="3"/>
    <x v="2"/>
  </r>
  <r>
    <x v="352"/>
    <x v="352"/>
    <s v="Tümay"/>
    <s v="Aykan"/>
    <x v="2"/>
    <x v="3"/>
    <x v="6"/>
    <x v="2"/>
  </r>
  <r>
    <x v="353"/>
    <x v="353"/>
    <s v="Esra"/>
    <s v="Nur Akçalı"/>
    <x v="0"/>
    <x v="8"/>
    <x v="4"/>
    <x v="2"/>
  </r>
  <r>
    <x v="354"/>
    <x v="354"/>
    <s v="Sıdıka"/>
    <s v="Altınboğa"/>
    <x v="5"/>
    <x v="0"/>
    <x v="3"/>
    <x v="2"/>
  </r>
  <r>
    <x v="355"/>
    <x v="355"/>
    <s v="Mehmet"/>
    <s v="Celtemen"/>
    <x v="7"/>
    <x v="0"/>
    <x v="5"/>
    <x v="0"/>
  </r>
  <r>
    <x v="356"/>
    <x v="356"/>
    <s v="Tarkan"/>
    <s v="Öven Ustaalioğlu"/>
    <x v="0"/>
    <x v="9"/>
    <x v="0"/>
    <x v="0"/>
  </r>
  <r>
    <x v="357"/>
    <x v="357"/>
    <s v="Nurdan"/>
    <s v="Arslan Kaşdoğan"/>
    <x v="1"/>
    <x v="13"/>
    <x v="4"/>
    <x v="1"/>
  </r>
  <r>
    <x v="358"/>
    <x v="358"/>
    <s v="Hale"/>
    <s v="Yeniçeri"/>
    <x v="7"/>
    <x v="1"/>
    <x v="7"/>
    <x v="2"/>
  </r>
  <r>
    <x v="359"/>
    <x v="359"/>
    <s v="Kerim"/>
    <s v="Atay"/>
    <x v="4"/>
    <x v="6"/>
    <x v="5"/>
    <x v="1"/>
  </r>
  <r>
    <x v="360"/>
    <x v="360"/>
    <s v="Gökay"/>
    <s v="Gürel"/>
    <x v="7"/>
    <x v="9"/>
    <x v="0"/>
    <x v="2"/>
  </r>
  <r>
    <x v="361"/>
    <x v="361"/>
    <s v="Seyhan"/>
    <s v="Mumcuoğlu"/>
    <x v="6"/>
    <x v="5"/>
    <x v="0"/>
    <x v="0"/>
  </r>
  <r>
    <x v="362"/>
    <x v="362"/>
    <s v="Diana"/>
    <s v="Hıdıroğlu"/>
    <x v="4"/>
    <x v="7"/>
    <x v="6"/>
    <x v="0"/>
  </r>
  <r>
    <x v="363"/>
    <x v="363"/>
    <s v="Filiz"/>
    <s v="Güler"/>
    <x v="2"/>
    <x v="7"/>
    <x v="3"/>
    <x v="2"/>
  </r>
  <r>
    <x v="364"/>
    <x v="364"/>
    <s v="Yücel"/>
    <s v="Öztürk"/>
    <x v="8"/>
    <x v="13"/>
    <x v="6"/>
    <x v="2"/>
  </r>
  <r>
    <x v="365"/>
    <x v="365"/>
    <s v="Evrim"/>
    <s v="Göncü"/>
    <x v="6"/>
    <x v="10"/>
    <x v="1"/>
    <x v="0"/>
  </r>
  <r>
    <x v="366"/>
    <x v="366"/>
    <s v="Alevtina"/>
    <s v="Akbulut"/>
    <x v="1"/>
    <x v="2"/>
    <x v="3"/>
    <x v="0"/>
  </r>
  <r>
    <x v="367"/>
    <x v="367"/>
    <s v="Faruk"/>
    <s v="Büyüktaş"/>
    <x v="5"/>
    <x v="3"/>
    <x v="5"/>
    <x v="1"/>
  </r>
  <r>
    <x v="368"/>
    <x v="368"/>
    <s v="Ergün"/>
    <s v="Gül"/>
    <x v="2"/>
    <x v="2"/>
    <x v="2"/>
    <x v="0"/>
  </r>
  <r>
    <x v="369"/>
    <x v="369"/>
    <s v="Ömer"/>
    <s v="Faruk Akşahin"/>
    <x v="6"/>
    <x v="8"/>
    <x v="5"/>
    <x v="1"/>
  </r>
  <r>
    <x v="370"/>
    <x v="370"/>
    <s v="Özcan"/>
    <s v="Kutluyurdu"/>
    <x v="2"/>
    <x v="4"/>
    <x v="3"/>
    <x v="2"/>
  </r>
  <r>
    <x v="371"/>
    <x v="371"/>
    <s v="Ahmet"/>
    <s v="Şen Tanrıkulu"/>
    <x v="8"/>
    <x v="3"/>
    <x v="3"/>
    <x v="0"/>
  </r>
  <r>
    <x v="372"/>
    <x v="372"/>
    <s v="Serhan"/>
    <s v="Eryavuz"/>
    <x v="7"/>
    <x v="0"/>
    <x v="4"/>
    <x v="1"/>
  </r>
  <r>
    <x v="373"/>
    <x v="373"/>
    <s v="İbrahim"/>
    <s v="Mesci Haftacı"/>
    <x v="4"/>
    <x v="0"/>
    <x v="0"/>
    <x v="1"/>
  </r>
  <r>
    <x v="374"/>
    <x v="374"/>
    <s v="Gülhanım"/>
    <s v="Yurt"/>
    <x v="8"/>
    <x v="0"/>
    <x v="5"/>
    <x v="2"/>
  </r>
  <r>
    <x v="375"/>
    <x v="375"/>
    <s v="İlknur"/>
    <s v="Yanni"/>
    <x v="5"/>
    <x v="11"/>
    <x v="4"/>
    <x v="2"/>
  </r>
  <r>
    <x v="376"/>
    <x v="376"/>
    <s v="Rezan"/>
    <s v="Cengiz"/>
    <x v="0"/>
    <x v="11"/>
    <x v="6"/>
    <x v="0"/>
  </r>
  <r>
    <x v="377"/>
    <x v="377"/>
    <s v="Cem"/>
    <s v="Yaşar Ercan"/>
    <x v="1"/>
    <x v="12"/>
    <x v="1"/>
    <x v="2"/>
  </r>
  <r>
    <x v="378"/>
    <x v="378"/>
    <s v="Mustafa"/>
    <s v="Atlanoğlu"/>
    <x v="7"/>
    <x v="1"/>
    <x v="7"/>
    <x v="2"/>
  </r>
  <r>
    <x v="379"/>
    <x v="379"/>
    <s v="Ahmet"/>
    <s v="Dökmeci"/>
    <x v="3"/>
    <x v="7"/>
    <x v="6"/>
    <x v="0"/>
  </r>
  <r>
    <x v="380"/>
    <x v="380"/>
    <s v="Yasemin"/>
    <s v="Sağlam"/>
    <x v="5"/>
    <x v="5"/>
    <x v="5"/>
    <x v="0"/>
  </r>
  <r>
    <x v="381"/>
    <x v="381"/>
    <s v="Erdem"/>
    <s v="Durç Öztürk"/>
    <x v="2"/>
    <x v="2"/>
    <x v="3"/>
    <x v="2"/>
  </r>
  <r>
    <x v="382"/>
    <x v="382"/>
    <s v="Fatih"/>
    <s v="Bozkurt"/>
    <x v="4"/>
    <x v="13"/>
    <x v="7"/>
    <x v="2"/>
  </r>
  <r>
    <x v="383"/>
    <x v="383"/>
    <s v="Atilla"/>
    <s v="Demir"/>
    <x v="0"/>
    <x v="10"/>
    <x v="2"/>
    <x v="1"/>
  </r>
  <r>
    <x v="384"/>
    <x v="384"/>
    <s v="Mehmet"/>
    <s v="Asena"/>
    <x v="8"/>
    <x v="6"/>
    <x v="0"/>
    <x v="2"/>
  </r>
  <r>
    <x v="385"/>
    <x v="385"/>
    <s v="Semra"/>
    <s v="Pekgöz"/>
    <x v="3"/>
    <x v="8"/>
    <x v="1"/>
    <x v="1"/>
  </r>
  <r>
    <x v="386"/>
    <x v="386"/>
    <s v="Sedat"/>
    <s v="Değirmenci"/>
    <x v="4"/>
    <x v="12"/>
    <x v="6"/>
    <x v="0"/>
  </r>
  <r>
    <x v="387"/>
    <x v="387"/>
    <s v="Sezgi"/>
    <s v="Suluova"/>
    <x v="4"/>
    <x v="1"/>
    <x v="7"/>
    <x v="3"/>
  </r>
  <r>
    <x v="388"/>
    <x v="388"/>
    <s v="Mehmet"/>
    <s v="Gürdal"/>
    <x v="3"/>
    <x v="5"/>
    <x v="5"/>
    <x v="2"/>
  </r>
  <r>
    <x v="389"/>
    <x v="389"/>
    <s v="Serhat"/>
    <s v="Çipe"/>
    <x v="1"/>
    <x v="13"/>
    <x v="3"/>
    <x v="2"/>
  </r>
  <r>
    <x v="390"/>
    <x v="390"/>
    <s v="Zafer"/>
    <s v="Mumcuoğlu"/>
    <x v="3"/>
    <x v="4"/>
    <x v="1"/>
    <x v="2"/>
  </r>
  <r>
    <x v="391"/>
    <x v="391"/>
    <s v="Muhammet"/>
    <s v="Tayyip Özekli Mısırlıoğlu"/>
    <x v="6"/>
    <x v="8"/>
    <x v="2"/>
    <x v="2"/>
  </r>
  <r>
    <x v="392"/>
    <x v="392"/>
    <s v="Mehmet"/>
    <s v="Köseoğlu"/>
    <x v="2"/>
    <x v="9"/>
    <x v="5"/>
    <x v="2"/>
  </r>
  <r>
    <x v="393"/>
    <x v="393"/>
    <s v="Mustafa"/>
    <s v="Demirtaş"/>
    <x v="0"/>
    <x v="10"/>
    <x v="6"/>
    <x v="0"/>
  </r>
  <r>
    <x v="394"/>
    <x v="394"/>
    <s v="Mediha"/>
    <s v="Al"/>
    <x v="5"/>
    <x v="11"/>
    <x v="2"/>
    <x v="2"/>
  </r>
  <r>
    <x v="395"/>
    <x v="395"/>
    <s v="Fadıl"/>
    <s v="Yıldız Altun"/>
    <x v="8"/>
    <x v="10"/>
    <x v="5"/>
    <x v="1"/>
  </r>
  <r>
    <x v="396"/>
    <x v="396"/>
    <s v="Çetin"/>
    <s v="Serin"/>
    <x v="4"/>
    <x v="10"/>
    <x v="2"/>
    <x v="2"/>
  </r>
  <r>
    <x v="397"/>
    <x v="397"/>
    <s v="Aysel"/>
    <s v="Hıdıroğlu"/>
    <x v="5"/>
    <x v="8"/>
    <x v="3"/>
    <x v="0"/>
  </r>
  <r>
    <x v="398"/>
    <x v="398"/>
    <s v="Neşe"/>
    <s v="Gürdal"/>
    <x v="3"/>
    <x v="2"/>
    <x v="6"/>
    <x v="2"/>
  </r>
  <r>
    <x v="399"/>
    <x v="399"/>
    <s v="Cansu"/>
    <s v="Selcan Akpınar"/>
    <x v="0"/>
    <x v="7"/>
    <x v="1"/>
    <x v="0"/>
  </r>
  <r>
    <x v="400"/>
    <x v="400"/>
    <s v="Duçem"/>
    <s v="Karpuz"/>
    <x v="4"/>
    <x v="6"/>
    <x v="3"/>
    <x v="2"/>
  </r>
  <r>
    <x v="401"/>
    <x v="401"/>
    <s v="Yener"/>
    <s v="Karakuş"/>
    <x v="8"/>
    <x v="6"/>
    <x v="3"/>
    <x v="2"/>
  </r>
  <r>
    <x v="402"/>
    <x v="402"/>
    <s v="Hasan"/>
    <s v="Sami Yumurtaş"/>
    <x v="6"/>
    <x v="4"/>
    <x v="1"/>
    <x v="1"/>
  </r>
  <r>
    <x v="403"/>
    <x v="403"/>
    <s v="Esin"/>
    <s v="Seren Kartal"/>
    <x v="7"/>
    <x v="5"/>
    <x v="6"/>
    <x v="2"/>
  </r>
  <r>
    <x v="404"/>
    <x v="404"/>
    <s v="Nuh"/>
    <s v="Bakan"/>
    <x v="2"/>
    <x v="8"/>
    <x v="4"/>
    <x v="2"/>
  </r>
  <r>
    <x v="405"/>
    <x v="405"/>
    <s v="Pınar"/>
    <s v="Genç"/>
    <x v="5"/>
    <x v="6"/>
    <x v="5"/>
    <x v="2"/>
  </r>
  <r>
    <x v="406"/>
    <x v="406"/>
    <s v="Gamze"/>
    <s v="Çağıl"/>
    <x v="5"/>
    <x v="4"/>
    <x v="3"/>
    <x v="2"/>
  </r>
  <r>
    <x v="407"/>
    <x v="407"/>
    <s v="Murat"/>
    <s v="Gazeteci Tekin"/>
    <x v="5"/>
    <x v="6"/>
    <x v="4"/>
    <x v="2"/>
  </r>
  <r>
    <x v="408"/>
    <x v="408"/>
    <s v="Adem"/>
    <s v="Akyol"/>
    <x v="2"/>
    <x v="10"/>
    <x v="0"/>
    <x v="2"/>
  </r>
  <r>
    <x v="409"/>
    <x v="409"/>
    <s v="Esin"/>
    <s v="Seren Saral"/>
    <x v="6"/>
    <x v="8"/>
    <x v="0"/>
    <x v="1"/>
  </r>
  <r>
    <x v="410"/>
    <x v="410"/>
    <s v="Özlem"/>
    <s v="Öztürk"/>
    <x v="7"/>
    <x v="9"/>
    <x v="7"/>
    <x v="2"/>
  </r>
  <r>
    <x v="411"/>
    <x v="411"/>
    <s v="Nilüfer"/>
    <s v="Soydan"/>
    <x v="8"/>
    <x v="4"/>
    <x v="5"/>
    <x v="1"/>
  </r>
  <r>
    <x v="412"/>
    <x v="412"/>
    <s v="Eray"/>
    <s v="Ergöz"/>
    <x v="8"/>
    <x v="6"/>
    <x v="1"/>
    <x v="1"/>
  </r>
  <r>
    <x v="413"/>
    <x v="413"/>
    <s v="Mustafa"/>
    <s v="Kürşat Göksel"/>
    <x v="6"/>
    <x v="4"/>
    <x v="6"/>
    <x v="2"/>
  </r>
  <r>
    <x v="414"/>
    <x v="414"/>
    <s v="Gülay"/>
    <s v="Alkurt Kayıkçı"/>
    <x v="6"/>
    <x v="4"/>
    <x v="0"/>
    <x v="2"/>
  </r>
  <r>
    <x v="415"/>
    <x v="415"/>
    <s v="Raşan"/>
    <s v="Su Kurt"/>
    <x v="8"/>
    <x v="1"/>
    <x v="6"/>
    <x v="0"/>
  </r>
  <r>
    <x v="416"/>
    <x v="416"/>
    <s v="Cem"/>
    <s v="Büküm"/>
    <x v="3"/>
    <x v="8"/>
    <x v="7"/>
    <x v="2"/>
  </r>
  <r>
    <x v="417"/>
    <x v="417"/>
    <s v="Metin"/>
    <s v="Pişirgen"/>
    <x v="6"/>
    <x v="9"/>
    <x v="3"/>
    <x v="2"/>
  </r>
  <r>
    <x v="418"/>
    <x v="418"/>
    <s v="Aziz"/>
    <s v="Urfalı"/>
    <x v="3"/>
    <x v="12"/>
    <x v="5"/>
    <x v="1"/>
  </r>
  <r>
    <x v="419"/>
    <x v="419"/>
    <s v="Didem"/>
    <s v="Canbaz"/>
    <x v="4"/>
    <x v="4"/>
    <x v="0"/>
    <x v="0"/>
  </r>
  <r>
    <x v="420"/>
    <x v="420"/>
    <s v="Ebru"/>
    <s v="Altun"/>
    <x v="0"/>
    <x v="9"/>
    <x v="0"/>
    <x v="2"/>
  </r>
  <r>
    <x v="421"/>
    <x v="421"/>
    <s v="Erhan"/>
    <s v="Tutaş"/>
    <x v="0"/>
    <x v="11"/>
    <x v="1"/>
    <x v="2"/>
  </r>
  <r>
    <x v="422"/>
    <x v="422"/>
    <s v="Sibel"/>
    <s v="Ulutaş"/>
    <x v="6"/>
    <x v="1"/>
    <x v="6"/>
    <x v="1"/>
  </r>
  <r>
    <x v="423"/>
    <x v="423"/>
    <s v="Hümeyra"/>
    <s v="Barçak"/>
    <x v="4"/>
    <x v="1"/>
    <x v="6"/>
    <x v="2"/>
  </r>
  <r>
    <x v="424"/>
    <x v="424"/>
    <s v="Mahmut"/>
    <s v="Yaşar"/>
    <x v="6"/>
    <x v="1"/>
    <x v="4"/>
    <x v="2"/>
  </r>
  <r>
    <x v="425"/>
    <x v="425"/>
    <s v="Atakan"/>
    <s v="Özdemir"/>
    <x v="8"/>
    <x v="2"/>
    <x v="7"/>
    <x v="2"/>
  </r>
  <r>
    <x v="426"/>
    <x v="426"/>
    <s v="Betül"/>
    <s v="Tüfenk"/>
    <x v="1"/>
    <x v="0"/>
    <x v="2"/>
    <x v="2"/>
  </r>
  <r>
    <x v="427"/>
    <x v="427"/>
    <s v="Özlem"/>
    <s v="Özer"/>
    <x v="4"/>
    <x v="13"/>
    <x v="6"/>
    <x v="2"/>
  </r>
  <r>
    <x v="428"/>
    <x v="428"/>
    <s v="Arif"/>
    <s v="Merhametsiz"/>
    <x v="7"/>
    <x v="6"/>
    <x v="1"/>
    <x v="0"/>
  </r>
  <r>
    <x v="429"/>
    <x v="429"/>
    <s v="Cem"/>
    <s v="Evik"/>
    <x v="3"/>
    <x v="4"/>
    <x v="4"/>
    <x v="0"/>
  </r>
  <r>
    <x v="430"/>
    <x v="430"/>
    <s v="Mehmet"/>
    <s v="Hilmi Yıldırım"/>
    <x v="4"/>
    <x v="9"/>
    <x v="6"/>
    <x v="0"/>
  </r>
  <r>
    <x v="431"/>
    <x v="431"/>
    <s v="Mahperi"/>
    <s v="Demir"/>
    <x v="2"/>
    <x v="12"/>
    <x v="5"/>
    <x v="0"/>
  </r>
  <r>
    <x v="432"/>
    <x v="432"/>
    <s v="Gülçin"/>
    <s v="Aksoy"/>
    <x v="1"/>
    <x v="6"/>
    <x v="5"/>
    <x v="2"/>
  </r>
  <r>
    <x v="433"/>
    <x v="433"/>
    <s v="Ahmet"/>
    <s v="Uysal"/>
    <x v="3"/>
    <x v="0"/>
    <x v="5"/>
    <x v="1"/>
  </r>
  <r>
    <x v="434"/>
    <x v="434"/>
    <s v="Mümtaz"/>
    <s v="Aslankara"/>
    <x v="5"/>
    <x v="9"/>
    <x v="0"/>
    <x v="0"/>
  </r>
  <r>
    <x v="435"/>
    <x v="435"/>
    <s v="Arzu"/>
    <s v="Altun"/>
    <x v="3"/>
    <x v="12"/>
    <x v="6"/>
    <x v="2"/>
  </r>
  <r>
    <x v="436"/>
    <x v="436"/>
    <s v="Ulaş"/>
    <s v="Ünlü"/>
    <x v="2"/>
    <x v="7"/>
    <x v="3"/>
    <x v="1"/>
  </r>
  <r>
    <x v="437"/>
    <x v="437"/>
    <s v="Haşim"/>
    <s v="Onur Uyğun"/>
    <x v="7"/>
    <x v="13"/>
    <x v="3"/>
    <x v="1"/>
  </r>
  <r>
    <x v="438"/>
    <x v="438"/>
    <s v="Burak"/>
    <s v="Gürakan"/>
    <x v="4"/>
    <x v="11"/>
    <x v="3"/>
    <x v="2"/>
  </r>
  <r>
    <x v="439"/>
    <x v="439"/>
    <s v="Gültekin"/>
    <s v="Günhan Kurt"/>
    <x v="0"/>
    <x v="1"/>
    <x v="5"/>
    <x v="1"/>
  </r>
  <r>
    <x v="440"/>
    <x v="440"/>
    <s v="Nalan"/>
    <s v="Gökalp"/>
    <x v="5"/>
    <x v="6"/>
    <x v="4"/>
    <x v="2"/>
  </r>
  <r>
    <x v="441"/>
    <x v="441"/>
    <s v="Ahmet"/>
    <s v="Koçar"/>
    <x v="5"/>
    <x v="8"/>
    <x v="7"/>
    <x v="3"/>
  </r>
  <r>
    <x v="442"/>
    <x v="442"/>
    <s v="Doğan"/>
    <s v="Orhon"/>
    <x v="6"/>
    <x v="5"/>
    <x v="1"/>
    <x v="2"/>
  </r>
  <r>
    <x v="443"/>
    <x v="443"/>
    <s v="Ziya"/>
    <s v="Arıkan Yorgun"/>
    <x v="5"/>
    <x v="1"/>
    <x v="7"/>
    <x v="2"/>
  </r>
  <r>
    <x v="444"/>
    <x v="444"/>
    <s v="Handan"/>
    <s v="Yakar"/>
    <x v="2"/>
    <x v="0"/>
    <x v="1"/>
    <x v="2"/>
  </r>
  <r>
    <x v="445"/>
    <x v="445"/>
    <s v="Muhlis"/>
    <s v="Dede"/>
    <x v="6"/>
    <x v="6"/>
    <x v="2"/>
    <x v="1"/>
  </r>
  <r>
    <x v="446"/>
    <x v="446"/>
    <s v="Ufuk"/>
    <s v="Ayas"/>
    <x v="4"/>
    <x v="0"/>
    <x v="1"/>
    <x v="2"/>
  </r>
  <r>
    <x v="447"/>
    <x v="447"/>
    <s v="Ayşegül"/>
    <s v="Kızanoğlu"/>
    <x v="1"/>
    <x v="10"/>
    <x v="7"/>
    <x v="2"/>
  </r>
  <r>
    <x v="448"/>
    <x v="448"/>
    <s v="Ayşegül"/>
    <s v="Akdeniz"/>
    <x v="6"/>
    <x v="11"/>
    <x v="4"/>
    <x v="1"/>
  </r>
  <r>
    <x v="449"/>
    <x v="449"/>
    <s v="Hande"/>
    <s v="Başman"/>
    <x v="3"/>
    <x v="2"/>
    <x v="3"/>
    <x v="0"/>
  </r>
  <r>
    <x v="450"/>
    <x v="450"/>
    <s v="Rifat"/>
    <s v="Can Akıncı"/>
    <x v="8"/>
    <x v="10"/>
    <x v="0"/>
    <x v="2"/>
  </r>
  <r>
    <x v="451"/>
    <x v="451"/>
    <s v="Tümay"/>
    <s v="Kanyılmaz"/>
    <x v="0"/>
    <x v="6"/>
    <x v="4"/>
    <x v="1"/>
  </r>
  <r>
    <x v="452"/>
    <x v="452"/>
    <s v="Ferdi"/>
    <s v="Eroğlu"/>
    <x v="5"/>
    <x v="4"/>
    <x v="1"/>
    <x v="1"/>
  </r>
  <r>
    <x v="453"/>
    <x v="453"/>
    <s v="Özlem"/>
    <s v="Eser"/>
    <x v="8"/>
    <x v="11"/>
    <x v="5"/>
    <x v="2"/>
  </r>
  <r>
    <x v="454"/>
    <x v="454"/>
    <s v="Semih"/>
    <s v="Aslan"/>
    <x v="4"/>
    <x v="7"/>
    <x v="4"/>
    <x v="2"/>
  </r>
  <r>
    <x v="455"/>
    <x v="455"/>
    <s v="Ferdi"/>
    <s v="Işık"/>
    <x v="4"/>
    <x v="13"/>
    <x v="4"/>
    <x v="1"/>
  </r>
  <r>
    <x v="456"/>
    <x v="456"/>
    <s v="Mustafa"/>
    <s v="Gürhan Dal"/>
    <x v="1"/>
    <x v="11"/>
    <x v="3"/>
    <x v="2"/>
  </r>
  <r>
    <x v="457"/>
    <x v="457"/>
    <s v="Taylan"/>
    <s v="Cömert"/>
    <x v="6"/>
    <x v="4"/>
    <x v="4"/>
    <x v="2"/>
  </r>
  <r>
    <x v="458"/>
    <x v="458"/>
    <s v="Betül"/>
    <s v="Yazak"/>
    <x v="8"/>
    <x v="1"/>
    <x v="4"/>
    <x v="2"/>
  </r>
  <r>
    <x v="459"/>
    <x v="459"/>
    <s v="Mehtap"/>
    <s v="Göksoy"/>
    <x v="3"/>
    <x v="11"/>
    <x v="1"/>
    <x v="1"/>
  </r>
  <r>
    <x v="460"/>
    <x v="460"/>
    <s v="Mahmut"/>
    <s v="Esat Topkara"/>
    <x v="1"/>
    <x v="8"/>
    <x v="6"/>
    <x v="0"/>
  </r>
  <r>
    <x v="461"/>
    <x v="461"/>
    <s v="Ümit"/>
    <s v="Ercan"/>
    <x v="8"/>
    <x v="9"/>
    <x v="2"/>
    <x v="2"/>
  </r>
  <r>
    <x v="462"/>
    <x v="462"/>
    <s v="Mete"/>
    <s v="Güler"/>
    <x v="3"/>
    <x v="9"/>
    <x v="0"/>
    <x v="0"/>
  </r>
  <r>
    <x v="463"/>
    <x v="463"/>
    <s v="Osman"/>
    <s v="Ersegun Koç"/>
    <x v="1"/>
    <x v="9"/>
    <x v="3"/>
    <x v="1"/>
  </r>
  <r>
    <x v="464"/>
    <x v="464"/>
    <s v="Cumhur"/>
    <s v="Kireççi"/>
    <x v="8"/>
    <x v="13"/>
    <x v="3"/>
    <x v="1"/>
  </r>
  <r>
    <x v="465"/>
    <x v="465"/>
    <s v="Süleyman"/>
    <s v="Sonay"/>
    <x v="1"/>
    <x v="12"/>
    <x v="5"/>
    <x v="2"/>
  </r>
  <r>
    <x v="466"/>
    <x v="466"/>
    <s v="Nihat"/>
    <s v="Kaya"/>
    <x v="6"/>
    <x v="5"/>
    <x v="3"/>
    <x v="1"/>
  </r>
  <r>
    <x v="467"/>
    <x v="467"/>
    <s v="Emrah"/>
    <s v="Kurtuluş"/>
    <x v="3"/>
    <x v="7"/>
    <x v="6"/>
    <x v="2"/>
  </r>
  <r>
    <x v="468"/>
    <x v="468"/>
    <s v="Elif"/>
    <s v="Erol"/>
    <x v="1"/>
    <x v="0"/>
    <x v="3"/>
    <x v="2"/>
  </r>
  <r>
    <x v="469"/>
    <x v="469"/>
    <s v="Selami"/>
    <s v="Değirmenci"/>
    <x v="6"/>
    <x v="10"/>
    <x v="5"/>
    <x v="0"/>
  </r>
  <r>
    <x v="470"/>
    <x v="470"/>
    <s v="Neslihan"/>
    <s v="Hancıoğlu"/>
    <x v="4"/>
    <x v="0"/>
    <x v="2"/>
    <x v="0"/>
  </r>
  <r>
    <x v="471"/>
    <x v="471"/>
    <s v="Enver"/>
    <s v="Yıldız Altun"/>
    <x v="2"/>
    <x v="3"/>
    <x v="3"/>
    <x v="2"/>
  </r>
  <r>
    <x v="472"/>
    <x v="472"/>
    <s v="Sabahattin"/>
    <s v="Şener"/>
    <x v="0"/>
    <x v="2"/>
    <x v="6"/>
    <x v="0"/>
  </r>
  <r>
    <x v="473"/>
    <x v="473"/>
    <s v="Serkan"/>
    <s v="Büber"/>
    <x v="4"/>
    <x v="0"/>
    <x v="5"/>
    <x v="2"/>
  </r>
  <r>
    <x v="474"/>
    <x v="474"/>
    <s v="Mehtap"/>
    <s v="Halhallı"/>
    <x v="3"/>
    <x v="8"/>
    <x v="6"/>
    <x v="2"/>
  </r>
  <r>
    <x v="475"/>
    <x v="475"/>
    <s v="Serhat"/>
    <s v="Altuntaş"/>
    <x v="5"/>
    <x v="10"/>
    <x v="5"/>
    <x v="0"/>
  </r>
  <r>
    <x v="476"/>
    <x v="476"/>
    <s v="Levent"/>
    <s v="Koçarslan"/>
    <x v="8"/>
    <x v="0"/>
    <x v="4"/>
    <x v="0"/>
  </r>
  <r>
    <x v="477"/>
    <x v="477"/>
    <s v="Saliha"/>
    <s v="Uygur"/>
    <x v="7"/>
    <x v="4"/>
    <x v="4"/>
    <x v="2"/>
  </r>
  <r>
    <x v="478"/>
    <x v="478"/>
    <s v="Meltem"/>
    <s v="Hale Gülen"/>
    <x v="3"/>
    <x v="0"/>
    <x v="1"/>
    <x v="2"/>
  </r>
  <r>
    <x v="479"/>
    <x v="479"/>
    <s v="Şirin"/>
    <s v="Talan"/>
    <x v="6"/>
    <x v="6"/>
    <x v="4"/>
    <x v="0"/>
  </r>
  <r>
    <x v="480"/>
    <x v="480"/>
    <s v="Aslı"/>
    <s v="Taşar"/>
    <x v="8"/>
    <x v="4"/>
    <x v="2"/>
    <x v="0"/>
  </r>
  <r>
    <x v="481"/>
    <x v="481"/>
    <s v="Yusuf"/>
    <s v="Kenan Ertekin"/>
    <x v="0"/>
    <x v="5"/>
    <x v="3"/>
    <x v="2"/>
  </r>
  <r>
    <x v="482"/>
    <x v="482"/>
    <s v="Nilay"/>
    <s v="Söker"/>
    <x v="8"/>
    <x v="2"/>
    <x v="2"/>
    <x v="1"/>
  </r>
  <r>
    <x v="483"/>
    <x v="483"/>
    <s v="Samet"/>
    <s v="Yüce"/>
    <x v="7"/>
    <x v="11"/>
    <x v="3"/>
    <x v="0"/>
  </r>
  <r>
    <x v="484"/>
    <x v="484"/>
    <s v="Süleyman"/>
    <s v="Ercan"/>
    <x v="2"/>
    <x v="2"/>
    <x v="7"/>
    <x v="2"/>
  </r>
  <r>
    <x v="485"/>
    <x v="485"/>
    <s v="Gülşah"/>
    <s v="Özdemir"/>
    <x v="7"/>
    <x v="7"/>
    <x v="4"/>
    <x v="0"/>
  </r>
  <r>
    <x v="486"/>
    <x v="486"/>
    <s v="Seher"/>
    <s v="Özlem Ünüş"/>
    <x v="7"/>
    <x v="4"/>
    <x v="7"/>
    <x v="2"/>
  </r>
  <r>
    <x v="487"/>
    <x v="487"/>
    <s v="Özgür"/>
    <s v="Duman"/>
    <x v="1"/>
    <x v="1"/>
    <x v="4"/>
    <x v="1"/>
  </r>
  <r>
    <x v="488"/>
    <x v="488"/>
    <s v="Ali"/>
    <s v="Şen"/>
    <x v="2"/>
    <x v="8"/>
    <x v="4"/>
    <x v="2"/>
  </r>
  <r>
    <x v="489"/>
    <x v="489"/>
    <s v="Seyfi"/>
    <s v="Cem Eren"/>
    <x v="5"/>
    <x v="10"/>
    <x v="2"/>
    <x v="2"/>
  </r>
  <r>
    <x v="490"/>
    <x v="490"/>
    <s v="Dilek"/>
    <s v="Çildir"/>
    <x v="4"/>
    <x v="6"/>
    <x v="6"/>
    <x v="0"/>
  </r>
  <r>
    <x v="491"/>
    <x v="491"/>
    <s v="Savaş"/>
    <s v="Özmen"/>
    <x v="7"/>
    <x v="1"/>
    <x v="6"/>
    <x v="3"/>
  </r>
  <r>
    <x v="492"/>
    <x v="492"/>
    <s v="Çetin"/>
    <s v="Karaköse"/>
    <x v="2"/>
    <x v="1"/>
    <x v="6"/>
    <x v="2"/>
  </r>
  <r>
    <x v="493"/>
    <x v="493"/>
    <s v="Başak"/>
    <s v="Ocak"/>
    <x v="3"/>
    <x v="10"/>
    <x v="4"/>
    <x v="2"/>
  </r>
  <r>
    <x v="494"/>
    <x v="494"/>
    <s v="Özhan"/>
    <s v="Güzel"/>
    <x v="3"/>
    <x v="8"/>
    <x v="6"/>
    <x v="2"/>
  </r>
  <r>
    <x v="495"/>
    <x v="495"/>
    <s v="Aysel"/>
    <s v="Aydın"/>
    <x v="6"/>
    <x v="3"/>
    <x v="1"/>
    <x v="2"/>
  </r>
  <r>
    <x v="496"/>
    <x v="496"/>
    <s v="Adem"/>
    <s v="Gümüşay"/>
    <x v="0"/>
    <x v="7"/>
    <x v="6"/>
    <x v="1"/>
  </r>
  <r>
    <x v="497"/>
    <x v="497"/>
    <s v="Yeliz"/>
    <s v="Vural"/>
    <x v="8"/>
    <x v="6"/>
    <x v="4"/>
    <x v="2"/>
  </r>
  <r>
    <x v="498"/>
    <x v="498"/>
    <s v="Papatya"/>
    <s v="Murt"/>
    <x v="4"/>
    <x v="8"/>
    <x v="3"/>
    <x v="2"/>
  </r>
  <r>
    <x v="499"/>
    <x v="499"/>
    <s v="Mehmet"/>
    <s v="Arifoğlu"/>
    <x v="0"/>
    <x v="10"/>
    <x v="4"/>
    <x v="2"/>
  </r>
  <r>
    <x v="500"/>
    <x v="500"/>
    <s v="Burcu"/>
    <s v="Sevingil"/>
    <x v="0"/>
    <x v="10"/>
    <x v="6"/>
    <x v="1"/>
  </r>
  <r>
    <x v="501"/>
    <x v="501"/>
    <s v="Ahmet"/>
    <s v="Önvermez"/>
    <x v="6"/>
    <x v="10"/>
    <x v="0"/>
    <x v="1"/>
  </r>
  <r>
    <x v="502"/>
    <x v="502"/>
    <s v="Aziz"/>
    <s v="Atik"/>
    <x v="4"/>
    <x v="8"/>
    <x v="4"/>
    <x v="1"/>
  </r>
  <r>
    <x v="503"/>
    <x v="503"/>
    <s v="Nurdan"/>
    <s v="Olpak"/>
    <x v="0"/>
    <x v="9"/>
    <x v="3"/>
    <x v="2"/>
  </r>
  <r>
    <x v="504"/>
    <x v="504"/>
    <s v="Derya"/>
    <s v="Ak Yıldırım"/>
    <x v="3"/>
    <x v="9"/>
    <x v="3"/>
    <x v="0"/>
  </r>
  <r>
    <x v="505"/>
    <x v="505"/>
    <s v="Barış"/>
    <s v="Altun"/>
    <x v="7"/>
    <x v="8"/>
    <x v="5"/>
    <x v="2"/>
  </r>
  <r>
    <x v="506"/>
    <x v="506"/>
    <s v="Barış"/>
    <s v="Kumral"/>
    <x v="6"/>
    <x v="11"/>
    <x v="2"/>
    <x v="2"/>
  </r>
  <r>
    <x v="507"/>
    <x v="507"/>
    <s v="Yusuf"/>
    <s v="Kenan Günay"/>
    <x v="0"/>
    <x v="6"/>
    <x v="0"/>
    <x v="2"/>
  </r>
  <r>
    <x v="508"/>
    <x v="508"/>
    <s v="Barış"/>
    <s v="Topal"/>
    <x v="7"/>
    <x v="12"/>
    <x v="5"/>
    <x v="0"/>
  </r>
  <r>
    <x v="509"/>
    <x v="509"/>
    <s v="Emre"/>
    <s v="Demiröz"/>
    <x v="8"/>
    <x v="3"/>
    <x v="7"/>
    <x v="2"/>
  </r>
  <r>
    <x v="510"/>
    <x v="510"/>
    <s v="Tansu"/>
    <s v="Yıldız"/>
    <x v="6"/>
    <x v="2"/>
    <x v="3"/>
    <x v="2"/>
  </r>
  <r>
    <x v="511"/>
    <x v="511"/>
    <s v="Handan"/>
    <s v="Göncü"/>
    <x v="1"/>
    <x v="1"/>
    <x v="7"/>
    <x v="1"/>
  </r>
  <r>
    <x v="512"/>
    <x v="512"/>
    <s v="Birsen"/>
    <s v="Tülüce"/>
    <x v="1"/>
    <x v="5"/>
    <x v="2"/>
    <x v="2"/>
  </r>
  <r>
    <x v="513"/>
    <x v="513"/>
    <s v="Semih"/>
    <s v="Özateş"/>
    <x v="8"/>
    <x v="6"/>
    <x v="4"/>
    <x v="2"/>
  </r>
  <r>
    <x v="514"/>
    <x v="514"/>
    <s v="Serhat"/>
    <s v="Yücetürk"/>
    <x v="6"/>
    <x v="6"/>
    <x v="3"/>
    <x v="0"/>
  </r>
  <r>
    <x v="515"/>
    <x v="515"/>
    <s v="Hasan"/>
    <s v="Alay"/>
    <x v="6"/>
    <x v="3"/>
    <x v="3"/>
    <x v="1"/>
  </r>
  <r>
    <x v="516"/>
    <x v="516"/>
    <s v="Filiz"/>
    <s v="Köşker"/>
    <x v="3"/>
    <x v="13"/>
    <x v="0"/>
    <x v="2"/>
  </r>
  <r>
    <x v="517"/>
    <x v="517"/>
    <s v="İlkay"/>
    <s v="Dilek"/>
    <x v="2"/>
    <x v="7"/>
    <x v="0"/>
    <x v="1"/>
  </r>
  <r>
    <x v="518"/>
    <x v="518"/>
    <s v="Hayri"/>
    <s v="Öden"/>
    <x v="0"/>
    <x v="10"/>
    <x v="0"/>
    <x v="2"/>
  </r>
  <r>
    <x v="519"/>
    <x v="519"/>
    <s v="Selçuk"/>
    <s v="Beyoğlu"/>
    <x v="0"/>
    <x v="6"/>
    <x v="5"/>
    <x v="2"/>
  </r>
  <r>
    <x v="520"/>
    <x v="520"/>
    <s v="Nurdan"/>
    <s v="Yurtlu"/>
    <x v="7"/>
    <x v="7"/>
    <x v="2"/>
    <x v="2"/>
  </r>
  <r>
    <x v="521"/>
    <x v="521"/>
    <s v="Nurdan"/>
    <s v="Bölük"/>
    <x v="2"/>
    <x v="1"/>
    <x v="1"/>
    <x v="0"/>
  </r>
  <r>
    <x v="522"/>
    <x v="522"/>
    <s v="Serhat"/>
    <s v="Doğan"/>
    <x v="5"/>
    <x v="11"/>
    <x v="1"/>
    <x v="2"/>
  </r>
  <r>
    <x v="523"/>
    <x v="523"/>
    <s v="Rabia"/>
    <s v="Mesci Haftacı"/>
    <x v="2"/>
    <x v="5"/>
    <x v="6"/>
    <x v="2"/>
  </r>
  <r>
    <x v="524"/>
    <x v="524"/>
    <s v="Onur"/>
    <s v="Kadir Köşker"/>
    <x v="1"/>
    <x v="4"/>
    <x v="5"/>
    <x v="2"/>
  </r>
  <r>
    <x v="525"/>
    <x v="525"/>
    <s v="Muhammet"/>
    <s v="Devran Alay"/>
    <x v="0"/>
    <x v="5"/>
    <x v="0"/>
    <x v="2"/>
  </r>
  <r>
    <x v="526"/>
    <x v="526"/>
    <s v="Osman"/>
    <s v="Ersegun Karadağ Geçgel"/>
    <x v="1"/>
    <x v="5"/>
    <x v="3"/>
    <x v="2"/>
  </r>
  <r>
    <x v="527"/>
    <x v="527"/>
    <s v="İsmail"/>
    <s v="Özalp"/>
    <x v="4"/>
    <x v="2"/>
    <x v="4"/>
    <x v="1"/>
  </r>
  <r>
    <x v="528"/>
    <x v="528"/>
    <s v="Duçem"/>
    <s v="Akdemir"/>
    <x v="5"/>
    <x v="10"/>
    <x v="0"/>
    <x v="0"/>
  </r>
  <r>
    <x v="529"/>
    <x v="529"/>
    <s v="Fuat"/>
    <s v="Köroğlu"/>
    <x v="6"/>
    <x v="10"/>
    <x v="6"/>
    <x v="1"/>
  </r>
  <r>
    <x v="530"/>
    <x v="530"/>
    <s v="Ayşe"/>
    <s v="Gül Sorgun Evcili"/>
    <x v="1"/>
    <x v="5"/>
    <x v="3"/>
    <x v="2"/>
  </r>
  <r>
    <x v="531"/>
    <x v="531"/>
    <s v="Haççe"/>
    <s v="Sevinç"/>
    <x v="8"/>
    <x v="7"/>
    <x v="1"/>
    <x v="2"/>
  </r>
  <r>
    <x v="532"/>
    <x v="532"/>
    <s v="Mustafa"/>
    <s v="Ferhat Ekici"/>
    <x v="2"/>
    <x v="13"/>
    <x v="0"/>
    <x v="2"/>
  </r>
  <r>
    <x v="533"/>
    <x v="533"/>
    <s v="Muhammet"/>
    <s v="Tayyip Arslan"/>
    <x v="5"/>
    <x v="6"/>
    <x v="6"/>
    <x v="0"/>
  </r>
  <r>
    <x v="534"/>
    <x v="534"/>
    <s v="İlknur"/>
    <s v="Karakuş"/>
    <x v="7"/>
    <x v="6"/>
    <x v="1"/>
    <x v="1"/>
  </r>
  <r>
    <x v="535"/>
    <x v="535"/>
    <s v="Almala"/>
    <s v="Pınar Hıdıroğlu"/>
    <x v="1"/>
    <x v="9"/>
    <x v="1"/>
    <x v="2"/>
  </r>
  <r>
    <x v="536"/>
    <x v="536"/>
    <s v="Berna"/>
    <s v="Kılıç"/>
    <x v="6"/>
    <x v="12"/>
    <x v="5"/>
    <x v="2"/>
  </r>
  <r>
    <x v="537"/>
    <x v="537"/>
    <s v="Halil"/>
    <s v="Asena"/>
    <x v="5"/>
    <x v="10"/>
    <x v="5"/>
    <x v="2"/>
  </r>
  <r>
    <x v="538"/>
    <x v="538"/>
    <s v="Nurcan"/>
    <s v="Sever"/>
    <x v="2"/>
    <x v="10"/>
    <x v="6"/>
    <x v="2"/>
  </r>
  <r>
    <x v="539"/>
    <x v="539"/>
    <s v="Tuba"/>
    <s v="Şener"/>
    <x v="8"/>
    <x v="2"/>
    <x v="3"/>
    <x v="2"/>
  </r>
  <r>
    <x v="540"/>
    <x v="540"/>
    <s v="Mehmet"/>
    <s v="Akın"/>
    <x v="0"/>
    <x v="4"/>
    <x v="3"/>
    <x v="1"/>
  </r>
  <r>
    <x v="541"/>
    <x v="541"/>
    <s v="Deniz"/>
    <s v="Aksoy"/>
    <x v="8"/>
    <x v="5"/>
    <x v="3"/>
    <x v="2"/>
  </r>
  <r>
    <x v="542"/>
    <x v="542"/>
    <s v="Aykut"/>
    <s v="Şahin"/>
    <x v="5"/>
    <x v="10"/>
    <x v="6"/>
    <x v="0"/>
  </r>
  <r>
    <x v="543"/>
    <x v="543"/>
    <s v="Hande"/>
    <s v="Akdeniz"/>
    <x v="5"/>
    <x v="9"/>
    <x v="2"/>
    <x v="2"/>
  </r>
  <r>
    <x v="544"/>
    <x v="544"/>
    <s v="Filiz"/>
    <s v="Karagöz"/>
    <x v="6"/>
    <x v="6"/>
    <x v="5"/>
    <x v="2"/>
  </r>
  <r>
    <x v="545"/>
    <x v="545"/>
    <s v="Engin"/>
    <s v="Düger"/>
    <x v="0"/>
    <x v="11"/>
    <x v="4"/>
    <x v="2"/>
  </r>
  <r>
    <x v="546"/>
    <x v="546"/>
    <s v="Hatice"/>
    <s v="Kayacan"/>
    <x v="5"/>
    <x v="4"/>
    <x v="5"/>
    <x v="2"/>
  </r>
  <r>
    <x v="547"/>
    <x v="547"/>
    <s v="Mahmut"/>
    <s v="Evik"/>
    <x v="6"/>
    <x v="7"/>
    <x v="1"/>
    <x v="3"/>
  </r>
  <r>
    <x v="548"/>
    <x v="548"/>
    <s v="Hatun"/>
    <s v="Arslan"/>
    <x v="0"/>
    <x v="5"/>
    <x v="3"/>
    <x v="1"/>
  </r>
  <r>
    <x v="549"/>
    <x v="549"/>
    <s v="Bahadır"/>
    <s v="Özdoğan"/>
    <x v="2"/>
    <x v="7"/>
    <x v="3"/>
    <x v="1"/>
  </r>
  <r>
    <x v="550"/>
    <x v="550"/>
    <s v="Serhat"/>
    <s v="Burkay Karahan"/>
    <x v="4"/>
    <x v="12"/>
    <x v="4"/>
    <x v="0"/>
  </r>
  <r>
    <x v="551"/>
    <x v="551"/>
    <s v="Ferhan"/>
    <s v="Dökmeci"/>
    <x v="3"/>
    <x v="9"/>
    <x v="4"/>
    <x v="2"/>
  </r>
  <r>
    <x v="552"/>
    <x v="552"/>
    <s v="Seçkin"/>
    <s v="Güngör"/>
    <x v="7"/>
    <x v="1"/>
    <x v="1"/>
    <x v="2"/>
  </r>
  <r>
    <x v="553"/>
    <x v="553"/>
    <s v="İsa"/>
    <s v="Cindemir"/>
    <x v="8"/>
    <x v="7"/>
    <x v="7"/>
    <x v="0"/>
  </r>
  <r>
    <x v="554"/>
    <x v="554"/>
    <s v="Abdullah"/>
    <s v="Arif Karslı"/>
    <x v="0"/>
    <x v="8"/>
    <x v="5"/>
    <x v="1"/>
  </r>
  <r>
    <x v="555"/>
    <x v="555"/>
    <s v="Nursel"/>
    <s v="Özel"/>
    <x v="6"/>
    <x v="7"/>
    <x v="5"/>
    <x v="2"/>
  </r>
  <r>
    <x v="556"/>
    <x v="556"/>
    <s v="Seda"/>
    <s v="Elçim Belgemen"/>
    <x v="1"/>
    <x v="11"/>
    <x v="5"/>
    <x v="2"/>
  </r>
  <r>
    <x v="557"/>
    <x v="557"/>
    <s v="Tülay"/>
    <s v="Danışoğlu"/>
    <x v="5"/>
    <x v="2"/>
    <x v="3"/>
    <x v="1"/>
  </r>
  <r>
    <x v="558"/>
    <x v="558"/>
    <s v="Mustafa"/>
    <s v="Işık"/>
    <x v="0"/>
    <x v="0"/>
    <x v="6"/>
    <x v="2"/>
  </r>
  <r>
    <x v="559"/>
    <x v="559"/>
    <s v="Pınar"/>
    <s v="Kaya"/>
    <x v="5"/>
    <x v="0"/>
    <x v="6"/>
    <x v="0"/>
  </r>
  <r>
    <x v="560"/>
    <x v="560"/>
    <s v="Duygu"/>
    <s v="Akhun"/>
    <x v="7"/>
    <x v="1"/>
    <x v="3"/>
    <x v="2"/>
  </r>
  <r>
    <x v="561"/>
    <x v="561"/>
    <s v="Mehmet"/>
    <s v="Reşit Tay"/>
    <x v="8"/>
    <x v="0"/>
    <x v="5"/>
    <x v="2"/>
  </r>
  <r>
    <x v="562"/>
    <x v="562"/>
    <s v="Özlem"/>
    <s v="Bozoğlan"/>
    <x v="0"/>
    <x v="1"/>
    <x v="0"/>
    <x v="1"/>
  </r>
  <r>
    <x v="563"/>
    <x v="563"/>
    <s v="Zahide"/>
    <s v="Cengiz"/>
    <x v="2"/>
    <x v="12"/>
    <x v="6"/>
    <x v="1"/>
  </r>
  <r>
    <x v="564"/>
    <x v="564"/>
    <s v="Mine"/>
    <s v="Öz"/>
    <x v="0"/>
    <x v="0"/>
    <x v="4"/>
    <x v="0"/>
  </r>
  <r>
    <x v="565"/>
    <x v="565"/>
    <s v="Zühal"/>
    <s v="Gülsüm Uğuz"/>
    <x v="0"/>
    <x v="12"/>
    <x v="2"/>
    <x v="2"/>
  </r>
  <r>
    <x v="566"/>
    <x v="566"/>
    <s v="Mumun"/>
    <s v="Ünüş"/>
    <x v="2"/>
    <x v="8"/>
    <x v="4"/>
    <x v="2"/>
  </r>
  <r>
    <x v="567"/>
    <x v="567"/>
    <s v="Ergül"/>
    <s v="Kızmaz"/>
    <x v="3"/>
    <x v="13"/>
    <x v="1"/>
    <x v="2"/>
  </r>
  <r>
    <x v="568"/>
    <x v="568"/>
    <s v="Meltem"/>
    <s v="Karacan"/>
    <x v="8"/>
    <x v="10"/>
    <x v="4"/>
    <x v="2"/>
  </r>
  <r>
    <x v="569"/>
    <x v="569"/>
    <s v="Emel"/>
    <s v="Ünlü"/>
    <x v="1"/>
    <x v="10"/>
    <x v="0"/>
    <x v="2"/>
  </r>
  <r>
    <x v="570"/>
    <x v="570"/>
    <s v="Ayşen"/>
    <s v="Gerdan"/>
    <x v="1"/>
    <x v="1"/>
    <x v="5"/>
    <x v="3"/>
  </r>
  <r>
    <x v="571"/>
    <x v="571"/>
    <s v="Nihal"/>
    <s v="Özdemir"/>
    <x v="1"/>
    <x v="11"/>
    <x v="0"/>
    <x v="2"/>
  </r>
  <r>
    <x v="572"/>
    <x v="572"/>
    <s v="Hüseyin"/>
    <s v="Doğan"/>
    <x v="4"/>
    <x v="7"/>
    <x v="4"/>
    <x v="1"/>
  </r>
  <r>
    <x v="573"/>
    <x v="573"/>
    <s v="Nurdan"/>
    <s v="Köşker"/>
    <x v="6"/>
    <x v="10"/>
    <x v="7"/>
    <x v="2"/>
  </r>
  <r>
    <x v="574"/>
    <x v="574"/>
    <s v="Zeliha"/>
    <s v="Bozkurter"/>
    <x v="4"/>
    <x v="5"/>
    <x v="3"/>
    <x v="2"/>
  </r>
  <r>
    <x v="575"/>
    <x v="575"/>
    <s v="Nizamettin"/>
    <s v="Nurçin"/>
    <x v="3"/>
    <x v="4"/>
    <x v="7"/>
    <x v="1"/>
  </r>
  <r>
    <x v="576"/>
    <x v="576"/>
    <s v="Eray"/>
    <s v="Altuna"/>
    <x v="6"/>
    <x v="3"/>
    <x v="5"/>
    <x v="1"/>
  </r>
  <r>
    <x v="577"/>
    <x v="577"/>
    <s v="Miray"/>
    <s v="Alabalık"/>
    <x v="8"/>
    <x v="9"/>
    <x v="6"/>
    <x v="2"/>
  </r>
  <r>
    <x v="578"/>
    <x v="578"/>
    <s v="Selma"/>
    <s v="Akgül"/>
    <x v="3"/>
    <x v="6"/>
    <x v="3"/>
    <x v="0"/>
  </r>
  <r>
    <x v="579"/>
    <x v="579"/>
    <s v="Cenk"/>
    <s v="Kızmazoğlu"/>
    <x v="8"/>
    <x v="11"/>
    <x v="7"/>
    <x v="4"/>
  </r>
  <r>
    <x v="580"/>
    <x v="580"/>
    <s v="Ebru"/>
    <s v="Kızanoğlu"/>
    <x v="6"/>
    <x v="4"/>
    <x v="0"/>
    <x v="2"/>
  </r>
  <r>
    <x v="581"/>
    <x v="581"/>
    <s v="Muhammet"/>
    <s v="Murat Alpınar"/>
    <x v="0"/>
    <x v="4"/>
    <x v="4"/>
    <x v="1"/>
  </r>
  <r>
    <x v="582"/>
    <x v="582"/>
    <s v="Semih"/>
    <s v="Tavşan"/>
    <x v="2"/>
    <x v="12"/>
    <x v="2"/>
    <x v="2"/>
  </r>
  <r>
    <x v="583"/>
    <x v="583"/>
    <s v="Feyza"/>
    <s v="Atbinici"/>
    <x v="5"/>
    <x v="7"/>
    <x v="0"/>
    <x v="2"/>
  </r>
  <r>
    <x v="584"/>
    <x v="584"/>
    <s v="Özlem"/>
    <s v="Doğan"/>
    <x v="7"/>
    <x v="8"/>
    <x v="1"/>
    <x v="0"/>
  </r>
  <r>
    <x v="585"/>
    <x v="585"/>
    <s v="Ercan"/>
    <s v="Almacıoğlu"/>
    <x v="5"/>
    <x v="1"/>
    <x v="2"/>
    <x v="2"/>
  </r>
  <r>
    <x v="586"/>
    <x v="586"/>
    <s v="Serkan"/>
    <s v="Uyanık"/>
    <x v="2"/>
    <x v="11"/>
    <x v="4"/>
    <x v="2"/>
  </r>
  <r>
    <x v="587"/>
    <x v="587"/>
    <s v="Ünsal"/>
    <s v="Alıcı"/>
    <x v="0"/>
    <x v="1"/>
    <x v="7"/>
    <x v="2"/>
  </r>
  <r>
    <x v="588"/>
    <x v="588"/>
    <s v="Ayşegül"/>
    <s v="Bozkurter"/>
    <x v="3"/>
    <x v="11"/>
    <x v="5"/>
    <x v="0"/>
  </r>
  <r>
    <x v="589"/>
    <x v="589"/>
    <s v="Hayati"/>
    <s v="Kayacan"/>
    <x v="5"/>
    <x v="4"/>
    <x v="0"/>
    <x v="0"/>
  </r>
  <r>
    <x v="590"/>
    <x v="590"/>
    <s v="Funda"/>
    <s v="Özlem Ayhan"/>
    <x v="1"/>
    <x v="2"/>
    <x v="1"/>
    <x v="2"/>
  </r>
  <r>
    <x v="591"/>
    <x v="591"/>
    <s v="Burcu"/>
    <s v="Gündüz"/>
    <x v="7"/>
    <x v="0"/>
    <x v="7"/>
    <x v="1"/>
  </r>
  <r>
    <x v="592"/>
    <x v="592"/>
    <s v="Tarkan"/>
    <s v="Aksun"/>
    <x v="8"/>
    <x v="3"/>
    <x v="1"/>
    <x v="1"/>
  </r>
  <r>
    <x v="593"/>
    <x v="593"/>
    <s v="Suna"/>
    <s v="Yiğit"/>
    <x v="7"/>
    <x v="2"/>
    <x v="0"/>
    <x v="0"/>
  </r>
  <r>
    <x v="594"/>
    <x v="594"/>
    <s v="Yavuz"/>
    <s v="Çekiç"/>
    <x v="5"/>
    <x v="7"/>
    <x v="5"/>
    <x v="2"/>
  </r>
  <r>
    <x v="595"/>
    <x v="595"/>
    <s v="İlhan"/>
    <s v="Halhallı"/>
    <x v="4"/>
    <x v="4"/>
    <x v="1"/>
    <x v="1"/>
  </r>
  <r>
    <x v="596"/>
    <x v="596"/>
    <s v="İkram"/>
    <s v="Kılıç"/>
    <x v="3"/>
    <x v="8"/>
    <x v="6"/>
    <x v="2"/>
  </r>
  <r>
    <x v="597"/>
    <x v="597"/>
    <s v="Ayşegül"/>
    <s v="Kalem"/>
    <x v="0"/>
    <x v="9"/>
    <x v="2"/>
    <x v="0"/>
  </r>
  <r>
    <x v="598"/>
    <x v="598"/>
    <s v="Serkan"/>
    <s v="Fazlı Dede"/>
    <x v="2"/>
    <x v="8"/>
    <x v="5"/>
    <x v="1"/>
  </r>
  <r>
    <x v="599"/>
    <x v="599"/>
    <s v="Mehmet"/>
    <s v="Reşit Uzun"/>
    <x v="7"/>
    <x v="11"/>
    <x v="1"/>
    <x v="0"/>
  </r>
  <r>
    <x v="600"/>
    <x v="600"/>
    <s v="Ahmet"/>
    <s v="Demirkol"/>
    <x v="1"/>
    <x v="1"/>
    <x v="2"/>
    <x v="2"/>
  </r>
  <r>
    <x v="601"/>
    <x v="601"/>
    <s v="Reyhan"/>
    <s v="İnci Kenar"/>
    <x v="0"/>
    <x v="6"/>
    <x v="4"/>
    <x v="2"/>
  </r>
  <r>
    <x v="602"/>
    <x v="602"/>
    <s v="Berçem"/>
    <s v="Atmış"/>
    <x v="0"/>
    <x v="2"/>
    <x v="1"/>
    <x v="2"/>
  </r>
  <r>
    <x v="603"/>
    <x v="603"/>
    <s v="Ülkühan"/>
    <s v="Erol"/>
    <x v="1"/>
    <x v="7"/>
    <x v="5"/>
    <x v="0"/>
  </r>
  <r>
    <x v="604"/>
    <x v="604"/>
    <s v="Nurcan"/>
    <s v="Kaba"/>
    <x v="1"/>
    <x v="2"/>
    <x v="6"/>
    <x v="0"/>
  </r>
  <r>
    <x v="605"/>
    <x v="605"/>
    <s v="Nihat"/>
    <s v="Gök"/>
    <x v="6"/>
    <x v="4"/>
    <x v="0"/>
    <x v="2"/>
  </r>
  <r>
    <x v="606"/>
    <x v="606"/>
    <s v="Ufuk"/>
    <s v="Işıkalan"/>
    <x v="3"/>
    <x v="12"/>
    <x v="5"/>
    <x v="2"/>
  </r>
  <r>
    <x v="607"/>
    <x v="607"/>
    <s v="Yasin"/>
    <s v="Özalp"/>
    <x v="0"/>
    <x v="0"/>
    <x v="3"/>
    <x v="2"/>
  </r>
  <r>
    <x v="608"/>
    <x v="608"/>
    <s v="Şükrü"/>
    <s v="Buğrul"/>
    <x v="6"/>
    <x v="5"/>
    <x v="6"/>
    <x v="2"/>
  </r>
  <r>
    <x v="609"/>
    <x v="609"/>
    <s v="Turgay"/>
    <s v="Yılmaz Şahin"/>
    <x v="6"/>
    <x v="5"/>
    <x v="3"/>
    <x v="3"/>
  </r>
  <r>
    <x v="610"/>
    <x v="610"/>
    <s v="Kübra"/>
    <s v="Kocabaş"/>
    <x v="6"/>
    <x v="6"/>
    <x v="6"/>
    <x v="0"/>
  </r>
  <r>
    <x v="611"/>
    <x v="611"/>
    <s v="Demet"/>
    <s v="Toktaş"/>
    <x v="4"/>
    <x v="13"/>
    <x v="0"/>
    <x v="1"/>
  </r>
  <r>
    <x v="612"/>
    <x v="612"/>
    <s v="Şeyma"/>
    <s v="Kebapcılar"/>
    <x v="6"/>
    <x v="3"/>
    <x v="2"/>
    <x v="0"/>
  </r>
  <r>
    <x v="613"/>
    <x v="613"/>
    <s v="Fatma"/>
    <s v="Yıldız Altun"/>
    <x v="6"/>
    <x v="13"/>
    <x v="4"/>
    <x v="2"/>
  </r>
  <r>
    <x v="614"/>
    <x v="614"/>
    <s v="Hicran"/>
    <s v="Ertürkler"/>
    <x v="2"/>
    <x v="13"/>
    <x v="1"/>
    <x v="2"/>
  </r>
  <r>
    <x v="615"/>
    <x v="615"/>
    <s v="Cansu"/>
    <s v="Selcan Güzel"/>
    <x v="1"/>
    <x v="1"/>
    <x v="2"/>
    <x v="2"/>
  </r>
  <r>
    <x v="616"/>
    <x v="616"/>
    <s v="Suna"/>
    <s v="Çobanyıldızı"/>
    <x v="5"/>
    <x v="2"/>
    <x v="7"/>
    <x v="1"/>
  </r>
  <r>
    <x v="617"/>
    <x v="617"/>
    <s v="Esen"/>
    <s v="İbrahim Özen"/>
    <x v="1"/>
    <x v="4"/>
    <x v="7"/>
    <x v="2"/>
  </r>
  <r>
    <x v="618"/>
    <x v="618"/>
    <s v="Berçem"/>
    <s v="Özkan"/>
    <x v="4"/>
    <x v="3"/>
    <x v="1"/>
    <x v="2"/>
  </r>
  <r>
    <x v="619"/>
    <x v="619"/>
    <s v="Didem"/>
    <s v="Işık"/>
    <x v="2"/>
    <x v="7"/>
    <x v="5"/>
    <x v="2"/>
  </r>
  <r>
    <x v="620"/>
    <x v="620"/>
    <s v="Şahabettin"/>
    <s v="Yeniçeri"/>
    <x v="6"/>
    <x v="1"/>
    <x v="1"/>
    <x v="1"/>
  </r>
  <r>
    <x v="621"/>
    <x v="621"/>
    <s v="Mustafa"/>
    <s v="Özan Sanhal"/>
    <x v="5"/>
    <x v="12"/>
    <x v="0"/>
    <x v="2"/>
  </r>
  <r>
    <x v="622"/>
    <x v="622"/>
    <s v="Serdar"/>
    <s v="Ay Güney"/>
    <x v="2"/>
    <x v="10"/>
    <x v="1"/>
    <x v="2"/>
  </r>
  <r>
    <x v="623"/>
    <x v="623"/>
    <s v="Emel"/>
    <s v="Gürdal"/>
    <x v="0"/>
    <x v="3"/>
    <x v="2"/>
    <x v="0"/>
  </r>
  <r>
    <x v="624"/>
    <x v="624"/>
    <s v="Ali"/>
    <s v="Candan"/>
    <x v="7"/>
    <x v="4"/>
    <x v="2"/>
    <x v="1"/>
  </r>
  <r>
    <x v="625"/>
    <x v="625"/>
    <s v="Hasan"/>
    <s v="Değirmenci"/>
    <x v="3"/>
    <x v="3"/>
    <x v="2"/>
    <x v="1"/>
  </r>
  <r>
    <x v="626"/>
    <x v="626"/>
    <s v="Tuğba"/>
    <s v="Bozkurt"/>
    <x v="2"/>
    <x v="5"/>
    <x v="6"/>
    <x v="0"/>
  </r>
  <r>
    <x v="627"/>
    <x v="627"/>
    <s v="Zahide"/>
    <s v="Balcı"/>
    <x v="1"/>
    <x v="8"/>
    <x v="0"/>
    <x v="2"/>
  </r>
  <r>
    <x v="628"/>
    <x v="628"/>
    <s v="Fatma"/>
    <s v="Çildir"/>
    <x v="7"/>
    <x v="12"/>
    <x v="7"/>
    <x v="2"/>
  </r>
  <r>
    <x v="629"/>
    <x v="629"/>
    <s v="Abdulkadir"/>
    <s v="Şahin"/>
    <x v="8"/>
    <x v="6"/>
    <x v="6"/>
    <x v="3"/>
  </r>
  <r>
    <x v="630"/>
    <x v="630"/>
    <s v="Fulya"/>
    <s v="Toktaş"/>
    <x v="1"/>
    <x v="1"/>
    <x v="1"/>
    <x v="1"/>
  </r>
  <r>
    <x v="631"/>
    <x v="631"/>
    <s v="Bengü"/>
    <s v="Kurt"/>
    <x v="8"/>
    <x v="2"/>
    <x v="3"/>
    <x v="2"/>
  </r>
  <r>
    <x v="632"/>
    <x v="632"/>
    <s v="Gökay"/>
    <s v="Kadak"/>
    <x v="8"/>
    <x v="1"/>
    <x v="7"/>
    <x v="2"/>
  </r>
  <r>
    <x v="633"/>
    <x v="633"/>
    <s v="Sultan"/>
    <s v="Yalnız"/>
    <x v="2"/>
    <x v="13"/>
    <x v="0"/>
    <x v="2"/>
  </r>
  <r>
    <x v="634"/>
    <x v="634"/>
    <s v="Mustafa"/>
    <s v="Korkmaz"/>
    <x v="0"/>
    <x v="11"/>
    <x v="7"/>
    <x v="2"/>
  </r>
  <r>
    <x v="635"/>
    <x v="635"/>
    <s v="Bahadır"/>
    <s v="Korkmaz"/>
    <x v="0"/>
    <x v="12"/>
    <x v="1"/>
    <x v="2"/>
  </r>
  <r>
    <x v="636"/>
    <x v="636"/>
    <s v="Melia"/>
    <s v="Aluçlu"/>
    <x v="3"/>
    <x v="6"/>
    <x v="6"/>
    <x v="2"/>
  </r>
  <r>
    <x v="637"/>
    <x v="637"/>
    <s v="Adem"/>
    <s v="Akın"/>
    <x v="8"/>
    <x v="4"/>
    <x v="2"/>
    <x v="2"/>
  </r>
  <r>
    <x v="638"/>
    <x v="638"/>
    <s v="Murat"/>
    <s v="Kaya"/>
    <x v="8"/>
    <x v="8"/>
    <x v="2"/>
    <x v="1"/>
  </r>
  <r>
    <x v="639"/>
    <x v="639"/>
    <s v="İhsan"/>
    <s v="Çobanoğlu"/>
    <x v="0"/>
    <x v="13"/>
    <x v="5"/>
    <x v="4"/>
  </r>
  <r>
    <x v="640"/>
    <x v="640"/>
    <s v="Mesude"/>
    <s v="Demirtaş"/>
    <x v="7"/>
    <x v="5"/>
    <x v="7"/>
    <x v="0"/>
  </r>
  <r>
    <x v="641"/>
    <x v="641"/>
    <s v="Neşe"/>
    <s v="Yalçınkaya"/>
    <x v="3"/>
    <x v="6"/>
    <x v="7"/>
    <x v="2"/>
  </r>
  <r>
    <x v="642"/>
    <x v="642"/>
    <s v="Muhammed"/>
    <s v="Taha Gündüz"/>
    <x v="3"/>
    <x v="5"/>
    <x v="1"/>
    <x v="2"/>
  </r>
  <r>
    <x v="643"/>
    <x v="643"/>
    <s v="Deniz"/>
    <s v="Boduroğlu"/>
    <x v="0"/>
    <x v="2"/>
    <x v="4"/>
    <x v="0"/>
  </r>
  <r>
    <x v="644"/>
    <x v="644"/>
    <s v="Adnan"/>
    <s v="Gözkaya"/>
    <x v="7"/>
    <x v="5"/>
    <x v="6"/>
    <x v="2"/>
  </r>
  <r>
    <x v="645"/>
    <x v="645"/>
    <s v="Elif"/>
    <s v="Bakırcı"/>
    <x v="7"/>
    <x v="9"/>
    <x v="0"/>
    <x v="2"/>
  </r>
  <r>
    <x v="646"/>
    <x v="646"/>
    <s v="Abdullah"/>
    <s v="Havas"/>
    <x v="1"/>
    <x v="7"/>
    <x v="6"/>
    <x v="2"/>
  </r>
  <r>
    <x v="647"/>
    <x v="647"/>
    <s v="Nevroz"/>
    <s v="Candan"/>
    <x v="7"/>
    <x v="12"/>
    <x v="0"/>
    <x v="1"/>
  </r>
  <r>
    <x v="648"/>
    <x v="648"/>
    <s v="Barış"/>
    <s v="Eker"/>
    <x v="1"/>
    <x v="13"/>
    <x v="6"/>
    <x v="0"/>
  </r>
  <r>
    <x v="649"/>
    <x v="649"/>
    <s v="Zeki"/>
    <s v="Acar"/>
    <x v="1"/>
    <x v="7"/>
    <x v="0"/>
    <x v="2"/>
  </r>
  <r>
    <x v="650"/>
    <x v="650"/>
    <s v="Ebru"/>
    <s v="Sözen"/>
    <x v="3"/>
    <x v="5"/>
    <x v="6"/>
    <x v="2"/>
  </r>
  <r>
    <x v="651"/>
    <x v="651"/>
    <s v="Erkan"/>
    <s v="Akpınar"/>
    <x v="5"/>
    <x v="13"/>
    <x v="6"/>
    <x v="1"/>
  </r>
  <r>
    <x v="652"/>
    <x v="652"/>
    <s v="Veysel"/>
    <s v="Öğütmen Koç"/>
    <x v="1"/>
    <x v="10"/>
    <x v="1"/>
    <x v="1"/>
  </r>
  <r>
    <x v="653"/>
    <x v="653"/>
    <s v="Zehra"/>
    <s v="Kaya"/>
    <x v="0"/>
    <x v="9"/>
    <x v="3"/>
    <x v="1"/>
  </r>
  <r>
    <x v="654"/>
    <x v="654"/>
    <s v="Mahmut"/>
    <s v="Nuri Erden"/>
    <x v="3"/>
    <x v="8"/>
    <x v="2"/>
    <x v="2"/>
  </r>
  <r>
    <x v="655"/>
    <x v="655"/>
    <s v="Münever"/>
    <s v="Şatır Ertem"/>
    <x v="4"/>
    <x v="6"/>
    <x v="4"/>
    <x v="0"/>
  </r>
  <r>
    <x v="656"/>
    <x v="656"/>
    <s v="Kübra"/>
    <s v="Babacan"/>
    <x v="3"/>
    <x v="1"/>
    <x v="3"/>
    <x v="2"/>
  </r>
  <r>
    <x v="657"/>
    <x v="657"/>
    <s v="Eyyup"/>
    <s v="Sabri Ten"/>
    <x v="3"/>
    <x v="1"/>
    <x v="0"/>
    <x v="1"/>
  </r>
  <r>
    <x v="658"/>
    <x v="658"/>
    <s v="Salih"/>
    <s v="Akyol"/>
    <x v="7"/>
    <x v="8"/>
    <x v="6"/>
    <x v="2"/>
  </r>
  <r>
    <x v="659"/>
    <x v="659"/>
    <s v="Elif"/>
    <s v="Yegen Yılmaz"/>
    <x v="4"/>
    <x v="9"/>
    <x v="7"/>
    <x v="2"/>
  </r>
  <r>
    <x v="660"/>
    <x v="660"/>
    <s v="Süreyya"/>
    <s v="Kütük"/>
    <x v="1"/>
    <x v="12"/>
    <x v="0"/>
    <x v="2"/>
  </r>
  <r>
    <x v="661"/>
    <x v="661"/>
    <s v="İsmail"/>
    <s v="Zorlu Karayiğit"/>
    <x v="1"/>
    <x v="8"/>
    <x v="1"/>
    <x v="2"/>
  </r>
  <r>
    <x v="662"/>
    <x v="662"/>
    <s v="Taner"/>
    <s v="Yiğit"/>
    <x v="2"/>
    <x v="10"/>
    <x v="2"/>
    <x v="1"/>
  </r>
  <r>
    <x v="663"/>
    <x v="663"/>
    <s v="Evre"/>
    <s v="Tola"/>
    <x v="4"/>
    <x v="6"/>
    <x v="5"/>
    <x v="2"/>
  </r>
  <r>
    <x v="664"/>
    <x v="664"/>
    <s v="Ayşegül"/>
    <s v="Destegül"/>
    <x v="3"/>
    <x v="7"/>
    <x v="0"/>
    <x v="2"/>
  </r>
  <r>
    <x v="665"/>
    <x v="665"/>
    <s v="Onur"/>
    <s v="Kadir Akın"/>
    <x v="5"/>
    <x v="10"/>
    <x v="4"/>
    <x v="2"/>
  </r>
  <r>
    <x v="666"/>
    <x v="666"/>
    <s v="Yahya"/>
    <s v="Kılıç"/>
    <x v="0"/>
    <x v="6"/>
    <x v="4"/>
    <x v="1"/>
  </r>
  <r>
    <x v="667"/>
    <x v="667"/>
    <s v="Seher"/>
    <s v="Özlem Önal Musalar"/>
    <x v="0"/>
    <x v="7"/>
    <x v="2"/>
    <x v="2"/>
  </r>
  <r>
    <x v="668"/>
    <x v="668"/>
    <s v="Esra"/>
    <s v="Nur Köylü"/>
    <x v="4"/>
    <x v="8"/>
    <x v="1"/>
    <x v="0"/>
  </r>
  <r>
    <x v="669"/>
    <x v="669"/>
    <s v="Erol"/>
    <s v="Suluova"/>
    <x v="5"/>
    <x v="10"/>
    <x v="1"/>
    <x v="2"/>
  </r>
  <r>
    <x v="670"/>
    <x v="670"/>
    <s v="Ali"/>
    <s v="Haluk Topal"/>
    <x v="2"/>
    <x v="8"/>
    <x v="1"/>
    <x v="2"/>
  </r>
  <r>
    <x v="671"/>
    <x v="671"/>
    <s v="Cemile"/>
    <s v="Ayşe Kılıç"/>
    <x v="2"/>
    <x v="11"/>
    <x v="2"/>
    <x v="2"/>
  </r>
  <r>
    <x v="672"/>
    <x v="672"/>
    <s v="Ebru"/>
    <s v="Güler"/>
    <x v="8"/>
    <x v="1"/>
    <x v="5"/>
    <x v="2"/>
  </r>
  <r>
    <x v="673"/>
    <x v="673"/>
    <s v="Tülay"/>
    <s v="Tuncel"/>
    <x v="1"/>
    <x v="11"/>
    <x v="1"/>
    <x v="0"/>
  </r>
  <r>
    <x v="674"/>
    <x v="674"/>
    <s v="Burhan"/>
    <s v="Çay"/>
    <x v="1"/>
    <x v="12"/>
    <x v="5"/>
    <x v="2"/>
  </r>
  <r>
    <x v="675"/>
    <x v="675"/>
    <s v="Serhat"/>
    <s v="Arslan"/>
    <x v="8"/>
    <x v="8"/>
    <x v="7"/>
    <x v="0"/>
  </r>
  <r>
    <x v="676"/>
    <x v="676"/>
    <s v="Bünyamin"/>
    <s v="Kuşku"/>
    <x v="3"/>
    <x v="11"/>
    <x v="2"/>
    <x v="2"/>
  </r>
  <r>
    <x v="677"/>
    <x v="677"/>
    <s v="Serkan"/>
    <s v="Güler"/>
    <x v="5"/>
    <x v="9"/>
    <x v="6"/>
    <x v="2"/>
  </r>
  <r>
    <x v="678"/>
    <x v="678"/>
    <s v="Timur"/>
    <s v="Berekatoğlu"/>
    <x v="4"/>
    <x v="7"/>
    <x v="3"/>
    <x v="1"/>
  </r>
  <r>
    <x v="679"/>
    <x v="679"/>
    <s v="Ahmet"/>
    <s v="İmamoğlu"/>
    <x v="0"/>
    <x v="8"/>
    <x v="5"/>
    <x v="4"/>
  </r>
  <r>
    <x v="680"/>
    <x v="680"/>
    <s v="Merih"/>
    <s v="Karakan"/>
    <x v="8"/>
    <x v="7"/>
    <x v="2"/>
    <x v="0"/>
  </r>
  <r>
    <x v="681"/>
    <x v="681"/>
    <s v="Özlem"/>
    <s v="Durç Öztürk"/>
    <x v="4"/>
    <x v="2"/>
    <x v="5"/>
    <x v="2"/>
  </r>
  <r>
    <x v="682"/>
    <x v="682"/>
    <s v="Ali"/>
    <s v="Celiloğlu"/>
    <x v="6"/>
    <x v="0"/>
    <x v="0"/>
    <x v="0"/>
  </r>
  <r>
    <x v="683"/>
    <x v="683"/>
    <s v="Refik"/>
    <s v="Öztürk"/>
    <x v="3"/>
    <x v="11"/>
    <x v="2"/>
    <x v="1"/>
  </r>
  <r>
    <x v="684"/>
    <x v="684"/>
    <s v="Ela"/>
    <s v="Altuntaş"/>
    <x v="4"/>
    <x v="0"/>
    <x v="0"/>
    <x v="2"/>
  </r>
  <r>
    <x v="685"/>
    <x v="685"/>
    <s v="Erkan"/>
    <s v="Karamanlı"/>
    <x v="4"/>
    <x v="3"/>
    <x v="1"/>
    <x v="2"/>
  </r>
  <r>
    <x v="686"/>
    <x v="686"/>
    <s v="Asudan"/>
    <s v="Tuğçe Akyol"/>
    <x v="7"/>
    <x v="13"/>
    <x v="7"/>
    <x v="0"/>
  </r>
  <r>
    <x v="687"/>
    <x v="687"/>
    <s v="Yaşar"/>
    <s v="Gökhan Hatipoğlu"/>
    <x v="5"/>
    <x v="9"/>
    <x v="6"/>
    <x v="2"/>
  </r>
  <r>
    <x v="688"/>
    <x v="688"/>
    <s v="Esra"/>
    <s v="Mutlu"/>
    <x v="6"/>
    <x v="2"/>
    <x v="1"/>
    <x v="1"/>
  </r>
  <r>
    <x v="689"/>
    <x v="689"/>
    <s v="Erkan"/>
    <s v="Karademir"/>
    <x v="4"/>
    <x v="3"/>
    <x v="6"/>
    <x v="2"/>
  </r>
  <r>
    <x v="690"/>
    <x v="690"/>
    <s v="Kürşat"/>
    <s v="Özavcı Aygün"/>
    <x v="0"/>
    <x v="6"/>
    <x v="6"/>
    <x v="2"/>
  </r>
  <r>
    <x v="691"/>
    <x v="691"/>
    <s v="Eftal"/>
    <s v="Murat Karakurt"/>
    <x v="7"/>
    <x v="5"/>
    <x v="5"/>
    <x v="2"/>
  </r>
  <r>
    <x v="692"/>
    <x v="692"/>
    <s v="Melda"/>
    <s v="Uyanık"/>
    <x v="3"/>
    <x v="11"/>
    <x v="4"/>
    <x v="1"/>
  </r>
  <r>
    <x v="693"/>
    <x v="693"/>
    <s v="Gonca"/>
    <s v="Cömert"/>
    <x v="4"/>
    <x v="13"/>
    <x v="0"/>
    <x v="1"/>
  </r>
  <r>
    <x v="694"/>
    <x v="694"/>
    <s v="Kezban"/>
    <s v="Öcal"/>
    <x v="6"/>
    <x v="4"/>
    <x v="3"/>
    <x v="2"/>
  </r>
  <r>
    <x v="695"/>
    <x v="695"/>
    <s v="Tuğba"/>
    <s v="Özekli Mısırlıoğlu"/>
    <x v="5"/>
    <x v="4"/>
    <x v="0"/>
    <x v="2"/>
  </r>
  <r>
    <x v="696"/>
    <x v="696"/>
    <s v="Erkan"/>
    <s v="Kırış"/>
    <x v="8"/>
    <x v="4"/>
    <x v="1"/>
    <x v="2"/>
  </r>
  <r>
    <x v="697"/>
    <x v="697"/>
    <s v="Tülay"/>
    <s v="Vatansever"/>
    <x v="2"/>
    <x v="4"/>
    <x v="5"/>
    <x v="0"/>
  </r>
  <r>
    <x v="698"/>
    <x v="698"/>
    <s v="Aydemir"/>
    <s v="Eken"/>
    <x v="0"/>
    <x v="1"/>
    <x v="2"/>
    <x v="1"/>
  </r>
  <r>
    <x v="699"/>
    <x v="699"/>
    <s v="Ahmet"/>
    <s v="Gökhan Karakaya"/>
    <x v="7"/>
    <x v="13"/>
    <x v="2"/>
    <x v="1"/>
  </r>
  <r>
    <x v="700"/>
    <x v="700"/>
    <s v="Serkan"/>
    <s v="Erdoğan"/>
    <x v="1"/>
    <x v="1"/>
    <x v="3"/>
    <x v="2"/>
  </r>
  <r>
    <x v="701"/>
    <x v="701"/>
    <s v="Serkan"/>
    <s v="Alpaycı"/>
    <x v="6"/>
    <x v="7"/>
    <x v="1"/>
    <x v="1"/>
  </r>
  <r>
    <x v="702"/>
    <x v="702"/>
    <s v="Yavuz"/>
    <s v="Beder"/>
    <x v="0"/>
    <x v="2"/>
    <x v="2"/>
    <x v="2"/>
  </r>
  <r>
    <x v="703"/>
    <x v="703"/>
    <s v="Muhammet"/>
    <s v="Devran Öğütmen Koç"/>
    <x v="5"/>
    <x v="0"/>
    <x v="1"/>
    <x v="0"/>
  </r>
  <r>
    <x v="704"/>
    <x v="704"/>
    <s v="Adem"/>
    <s v="Batgi Azarkan"/>
    <x v="0"/>
    <x v="3"/>
    <x v="1"/>
    <x v="2"/>
  </r>
  <r>
    <x v="705"/>
    <x v="705"/>
    <s v="Fatih"/>
    <s v="Ünal"/>
    <x v="7"/>
    <x v="12"/>
    <x v="6"/>
    <x v="2"/>
  </r>
  <r>
    <x v="706"/>
    <x v="706"/>
    <s v="Şeyma"/>
    <s v="Bal"/>
    <x v="6"/>
    <x v="0"/>
    <x v="6"/>
    <x v="0"/>
  </r>
  <r>
    <x v="707"/>
    <x v="707"/>
    <s v="Enver"/>
    <s v="Kabil Kucur"/>
    <x v="8"/>
    <x v="13"/>
    <x v="3"/>
    <x v="2"/>
  </r>
  <r>
    <x v="708"/>
    <x v="708"/>
    <s v="Kerim"/>
    <s v="Doğan"/>
    <x v="2"/>
    <x v="3"/>
    <x v="4"/>
    <x v="2"/>
  </r>
  <r>
    <x v="709"/>
    <x v="709"/>
    <s v="Fatma"/>
    <s v="Selcen Ulutaş"/>
    <x v="1"/>
    <x v="6"/>
    <x v="4"/>
    <x v="2"/>
  </r>
  <r>
    <x v="710"/>
    <x v="710"/>
    <s v="Nuray"/>
    <s v="Müftüoğlu"/>
    <x v="1"/>
    <x v="5"/>
    <x v="7"/>
    <x v="2"/>
  </r>
  <r>
    <x v="711"/>
    <x v="711"/>
    <s v="Nurettin"/>
    <s v="Ünsal"/>
    <x v="0"/>
    <x v="6"/>
    <x v="3"/>
    <x v="0"/>
  </r>
  <r>
    <x v="712"/>
    <x v="712"/>
    <s v="Haluk"/>
    <s v="Baysoy"/>
    <x v="0"/>
    <x v="3"/>
    <x v="3"/>
    <x v="2"/>
  </r>
  <r>
    <x v="713"/>
    <x v="713"/>
    <s v="Elif"/>
    <s v="Eker"/>
    <x v="0"/>
    <x v="12"/>
    <x v="7"/>
    <x v="2"/>
  </r>
  <r>
    <x v="714"/>
    <x v="714"/>
    <s v="Ümit"/>
    <s v="Yurdam"/>
    <x v="1"/>
    <x v="3"/>
    <x v="4"/>
    <x v="2"/>
  </r>
  <r>
    <x v="715"/>
    <x v="715"/>
    <s v="Yener"/>
    <s v="Öğütmen Koç"/>
    <x v="8"/>
    <x v="2"/>
    <x v="7"/>
    <x v="2"/>
  </r>
  <r>
    <x v="716"/>
    <x v="716"/>
    <s v="İlker"/>
    <s v="Gülen"/>
    <x v="3"/>
    <x v="9"/>
    <x v="5"/>
    <x v="0"/>
  </r>
  <r>
    <x v="717"/>
    <x v="717"/>
    <s v="Yücel"/>
    <s v="Özkurt"/>
    <x v="8"/>
    <x v="13"/>
    <x v="4"/>
    <x v="3"/>
  </r>
  <r>
    <x v="718"/>
    <x v="718"/>
    <s v="Ersagun"/>
    <s v="Şengül"/>
    <x v="5"/>
    <x v="0"/>
    <x v="3"/>
    <x v="1"/>
  </r>
  <r>
    <x v="719"/>
    <x v="719"/>
    <s v="Serkan"/>
    <s v="Doğan"/>
    <x v="8"/>
    <x v="12"/>
    <x v="3"/>
    <x v="1"/>
  </r>
  <r>
    <x v="720"/>
    <x v="720"/>
    <s v="Semine"/>
    <s v="Demir"/>
    <x v="1"/>
    <x v="5"/>
    <x v="5"/>
    <x v="0"/>
  </r>
  <r>
    <x v="721"/>
    <x v="721"/>
    <s v="Pınar"/>
    <s v="Menteş"/>
    <x v="7"/>
    <x v="2"/>
    <x v="6"/>
    <x v="0"/>
  </r>
  <r>
    <x v="722"/>
    <x v="722"/>
    <s v="Deniz"/>
    <s v="Havas"/>
    <x v="8"/>
    <x v="2"/>
    <x v="3"/>
    <x v="2"/>
  </r>
  <r>
    <x v="723"/>
    <x v="723"/>
    <s v="Eda"/>
    <s v="Çimen"/>
    <x v="1"/>
    <x v="6"/>
    <x v="2"/>
    <x v="2"/>
  </r>
  <r>
    <x v="724"/>
    <x v="724"/>
    <s v="Ömer"/>
    <s v="Faruk Yılmaz"/>
    <x v="1"/>
    <x v="1"/>
    <x v="4"/>
    <x v="2"/>
  </r>
  <r>
    <x v="725"/>
    <x v="725"/>
    <s v="Özgür"/>
    <s v="Dede"/>
    <x v="1"/>
    <x v="9"/>
    <x v="7"/>
    <x v="2"/>
  </r>
  <r>
    <x v="726"/>
    <x v="726"/>
    <s v="Yusuf"/>
    <s v="Özmen"/>
    <x v="0"/>
    <x v="1"/>
    <x v="6"/>
    <x v="2"/>
  </r>
  <r>
    <x v="727"/>
    <x v="727"/>
    <s v="Burcu"/>
    <s v="Tanrıverdi Yılmaz"/>
    <x v="2"/>
    <x v="5"/>
    <x v="3"/>
    <x v="2"/>
  </r>
  <r>
    <x v="728"/>
    <x v="728"/>
    <s v="Özlem"/>
    <s v="Babuş"/>
    <x v="0"/>
    <x v="7"/>
    <x v="7"/>
    <x v="2"/>
  </r>
  <r>
    <x v="729"/>
    <x v="729"/>
    <s v="Yusuf"/>
    <s v="Ünal"/>
    <x v="3"/>
    <x v="10"/>
    <x v="6"/>
    <x v="2"/>
  </r>
  <r>
    <x v="730"/>
    <x v="730"/>
    <s v="Hüseyin"/>
    <s v="Kunter Karasu"/>
    <x v="3"/>
    <x v="10"/>
    <x v="0"/>
    <x v="2"/>
  </r>
  <r>
    <x v="731"/>
    <x v="731"/>
    <s v="Şahabettin"/>
    <s v="Karakoyun"/>
    <x v="5"/>
    <x v="3"/>
    <x v="1"/>
    <x v="2"/>
  </r>
  <r>
    <x v="732"/>
    <x v="732"/>
    <s v="Esra"/>
    <s v="Güngör"/>
    <x v="6"/>
    <x v="7"/>
    <x v="1"/>
    <x v="4"/>
  </r>
  <r>
    <x v="733"/>
    <x v="733"/>
    <s v="Mehtap"/>
    <s v="Saraç"/>
    <x v="2"/>
    <x v="8"/>
    <x v="0"/>
    <x v="2"/>
  </r>
  <r>
    <x v="734"/>
    <x v="734"/>
    <s v="Kıvanç"/>
    <s v="Akar"/>
    <x v="8"/>
    <x v="0"/>
    <x v="2"/>
    <x v="2"/>
  </r>
  <r>
    <x v="735"/>
    <x v="735"/>
    <s v="Özgür"/>
    <s v="Öziş"/>
    <x v="7"/>
    <x v="5"/>
    <x v="0"/>
    <x v="1"/>
  </r>
  <r>
    <x v="736"/>
    <x v="736"/>
    <s v="Umut"/>
    <s v="Can Sevingil"/>
    <x v="3"/>
    <x v="12"/>
    <x v="7"/>
    <x v="2"/>
  </r>
  <r>
    <x v="737"/>
    <x v="737"/>
    <s v="Sezgin"/>
    <s v="Yacı"/>
    <x v="7"/>
    <x v="0"/>
    <x v="5"/>
    <x v="1"/>
  </r>
  <r>
    <x v="738"/>
    <x v="738"/>
    <s v="Serkan"/>
    <s v="Bulakçı"/>
    <x v="6"/>
    <x v="8"/>
    <x v="7"/>
    <x v="2"/>
  </r>
  <r>
    <x v="739"/>
    <x v="739"/>
    <s v="Burcu"/>
    <s v="Çiçekbilek"/>
    <x v="8"/>
    <x v="8"/>
    <x v="3"/>
    <x v="1"/>
  </r>
  <r>
    <x v="740"/>
    <x v="740"/>
    <s v="Zerrin"/>
    <s v="Tay"/>
    <x v="6"/>
    <x v="0"/>
    <x v="4"/>
    <x v="2"/>
  </r>
  <r>
    <x v="741"/>
    <x v="741"/>
    <s v="Nazım"/>
    <s v="Uzun"/>
    <x v="8"/>
    <x v="6"/>
    <x v="5"/>
    <x v="2"/>
  </r>
  <r>
    <x v="742"/>
    <x v="742"/>
    <s v="Ayşe"/>
    <s v="Gül Tarkan"/>
    <x v="1"/>
    <x v="8"/>
    <x v="4"/>
    <x v="2"/>
  </r>
  <r>
    <x v="743"/>
    <x v="743"/>
    <s v="Muhammet"/>
    <s v="Devran Topkara"/>
    <x v="3"/>
    <x v="1"/>
    <x v="3"/>
    <x v="2"/>
  </r>
  <r>
    <x v="744"/>
    <x v="744"/>
    <s v="Sultan"/>
    <s v="Savran"/>
    <x v="1"/>
    <x v="13"/>
    <x v="5"/>
    <x v="2"/>
  </r>
  <r>
    <x v="745"/>
    <x v="745"/>
    <s v="Melike"/>
    <s v="Şahin"/>
    <x v="2"/>
    <x v="7"/>
    <x v="3"/>
    <x v="2"/>
  </r>
  <r>
    <x v="746"/>
    <x v="746"/>
    <s v="Ahmet"/>
    <s v="Tüten"/>
    <x v="6"/>
    <x v="10"/>
    <x v="5"/>
    <x v="0"/>
  </r>
  <r>
    <x v="747"/>
    <x v="747"/>
    <s v="Orhan"/>
    <s v="Şahin Duyar"/>
    <x v="6"/>
    <x v="3"/>
    <x v="2"/>
    <x v="1"/>
  </r>
  <r>
    <x v="748"/>
    <x v="748"/>
    <s v="Fadıl"/>
    <s v="Oğuz"/>
    <x v="8"/>
    <x v="2"/>
    <x v="6"/>
    <x v="0"/>
  </r>
  <r>
    <x v="749"/>
    <x v="749"/>
    <s v="İpek"/>
    <s v="Öztürkeri"/>
    <x v="8"/>
    <x v="12"/>
    <x v="7"/>
    <x v="2"/>
  </r>
  <r>
    <x v="750"/>
    <x v="750"/>
    <s v="Demet"/>
    <s v="Işık"/>
    <x v="2"/>
    <x v="8"/>
    <x v="6"/>
    <x v="2"/>
  </r>
  <r>
    <x v="751"/>
    <x v="751"/>
    <s v="İrem"/>
    <s v="Metineren"/>
    <x v="6"/>
    <x v="6"/>
    <x v="5"/>
    <x v="1"/>
  </r>
  <r>
    <x v="556"/>
    <x v="752"/>
    <s v="Mehmet"/>
    <s v="Sadi Aykan"/>
    <x v="5"/>
    <x v="4"/>
    <x v="3"/>
    <x v="1"/>
  </r>
  <r>
    <x v="752"/>
    <x v="753"/>
    <s v="Filiz"/>
    <s v="Şatıroğlu"/>
    <x v="3"/>
    <x v="9"/>
    <x v="0"/>
    <x v="2"/>
  </r>
  <r>
    <x v="753"/>
    <x v="754"/>
    <s v="Belma"/>
    <s v="Köksoy"/>
    <x v="6"/>
    <x v="5"/>
    <x v="4"/>
    <x v="2"/>
  </r>
  <r>
    <x v="754"/>
    <x v="755"/>
    <s v="Kenan"/>
    <s v="Ahmet Menteş"/>
    <x v="1"/>
    <x v="12"/>
    <x v="1"/>
    <x v="4"/>
  </r>
  <r>
    <x v="755"/>
    <x v="756"/>
    <s v="Sultan"/>
    <s v="Şatıroğlu"/>
    <x v="8"/>
    <x v="12"/>
    <x v="4"/>
    <x v="2"/>
  </r>
  <r>
    <x v="756"/>
    <x v="757"/>
    <s v="Mehmet"/>
    <s v="Özen"/>
    <x v="6"/>
    <x v="0"/>
    <x v="4"/>
    <x v="2"/>
  </r>
  <r>
    <x v="757"/>
    <x v="758"/>
    <s v="Yasemin"/>
    <s v="Kızmazoğlu"/>
    <x v="8"/>
    <x v="2"/>
    <x v="4"/>
    <x v="2"/>
  </r>
  <r>
    <x v="758"/>
    <x v="759"/>
    <s v="Nevriye"/>
    <s v="Duysak"/>
    <x v="7"/>
    <x v="8"/>
    <x v="4"/>
    <x v="1"/>
  </r>
  <r>
    <x v="759"/>
    <x v="760"/>
    <s v="Nilay"/>
    <s v="Ballı"/>
    <x v="5"/>
    <x v="4"/>
    <x v="7"/>
    <x v="2"/>
  </r>
  <r>
    <x v="760"/>
    <x v="761"/>
    <s v="Şenay"/>
    <s v="Akın"/>
    <x v="4"/>
    <x v="12"/>
    <x v="3"/>
    <x v="1"/>
  </r>
  <r>
    <x v="761"/>
    <x v="762"/>
    <s v="Tayfur"/>
    <s v="Akdemir"/>
    <x v="8"/>
    <x v="1"/>
    <x v="1"/>
    <x v="2"/>
  </r>
  <r>
    <x v="762"/>
    <x v="763"/>
    <s v="Serdal"/>
    <s v="Kocabaş"/>
    <x v="2"/>
    <x v="5"/>
    <x v="4"/>
    <x v="2"/>
  </r>
  <r>
    <x v="763"/>
    <x v="764"/>
    <s v="Mehmet"/>
    <s v="Hüseyin Ardıç"/>
    <x v="3"/>
    <x v="1"/>
    <x v="5"/>
    <x v="1"/>
  </r>
  <r>
    <x v="764"/>
    <x v="765"/>
    <s v="Şahinde"/>
    <s v="Demirel"/>
    <x v="4"/>
    <x v="2"/>
    <x v="6"/>
    <x v="0"/>
  </r>
  <r>
    <x v="765"/>
    <x v="766"/>
    <s v="Emin"/>
    <s v="Tonyukuk Demir"/>
    <x v="0"/>
    <x v="1"/>
    <x v="6"/>
    <x v="2"/>
  </r>
  <r>
    <x v="766"/>
    <x v="767"/>
    <s v="Arif"/>
    <s v="Bülbül"/>
    <x v="3"/>
    <x v="5"/>
    <x v="1"/>
    <x v="2"/>
  </r>
  <r>
    <x v="767"/>
    <x v="768"/>
    <s v="Cemile"/>
    <s v="Ayşe Özcan"/>
    <x v="4"/>
    <x v="1"/>
    <x v="4"/>
    <x v="2"/>
  </r>
  <r>
    <x v="768"/>
    <x v="769"/>
    <s v="Sabahattin"/>
    <s v="Genç"/>
    <x v="6"/>
    <x v="12"/>
    <x v="2"/>
    <x v="1"/>
  </r>
  <r>
    <x v="769"/>
    <x v="770"/>
    <s v="Özgür"/>
    <s v="Sinan Kaya"/>
    <x v="8"/>
    <x v="3"/>
    <x v="1"/>
    <x v="0"/>
  </r>
  <r>
    <x v="770"/>
    <x v="771"/>
    <s v="Zülfiye"/>
    <s v="Azak"/>
    <x v="1"/>
    <x v="3"/>
    <x v="3"/>
    <x v="0"/>
  </r>
  <r>
    <x v="771"/>
    <x v="772"/>
    <s v="Fatih"/>
    <s v="Babuş"/>
    <x v="7"/>
    <x v="4"/>
    <x v="3"/>
    <x v="0"/>
  </r>
  <r>
    <x v="772"/>
    <x v="773"/>
    <s v="Birgül"/>
    <s v="Ayhan"/>
    <x v="8"/>
    <x v="9"/>
    <x v="1"/>
    <x v="0"/>
  </r>
  <r>
    <x v="773"/>
    <x v="774"/>
    <s v="Emine"/>
    <s v="Ulutaş"/>
    <x v="8"/>
    <x v="8"/>
    <x v="6"/>
    <x v="2"/>
  </r>
  <r>
    <x v="774"/>
    <x v="775"/>
    <s v="Zeliha"/>
    <s v="Kılıç"/>
    <x v="4"/>
    <x v="12"/>
    <x v="7"/>
    <x v="2"/>
  </r>
  <r>
    <x v="775"/>
    <x v="776"/>
    <s v="Muhlis"/>
    <s v="Alpsan Gökmen"/>
    <x v="3"/>
    <x v="13"/>
    <x v="4"/>
    <x v="2"/>
  </r>
  <r>
    <x v="776"/>
    <x v="777"/>
    <s v="Başak"/>
    <s v="Aytaç"/>
    <x v="0"/>
    <x v="10"/>
    <x v="0"/>
    <x v="2"/>
  </r>
  <r>
    <x v="777"/>
    <x v="778"/>
    <s v="Miray"/>
    <s v="Menteş"/>
    <x v="0"/>
    <x v="8"/>
    <x v="1"/>
    <x v="1"/>
  </r>
  <r>
    <x v="778"/>
    <x v="779"/>
    <s v="Ahmet"/>
    <s v="Yalçınkaya"/>
    <x v="7"/>
    <x v="2"/>
    <x v="0"/>
    <x v="2"/>
  </r>
  <r>
    <x v="779"/>
    <x v="780"/>
    <s v="Sebiha"/>
    <s v="Kocabaş"/>
    <x v="3"/>
    <x v="11"/>
    <x v="0"/>
    <x v="0"/>
  </r>
  <r>
    <x v="780"/>
    <x v="781"/>
    <s v="Sevde"/>
    <s v="Nur Demir"/>
    <x v="1"/>
    <x v="4"/>
    <x v="5"/>
    <x v="2"/>
  </r>
  <r>
    <x v="781"/>
    <x v="782"/>
    <s v="Çetin"/>
    <s v="Sevük"/>
    <x v="8"/>
    <x v="13"/>
    <x v="3"/>
    <x v="1"/>
  </r>
  <r>
    <x v="782"/>
    <x v="783"/>
    <s v="Mustafa"/>
    <s v="Ulaş Oğuz"/>
    <x v="3"/>
    <x v="3"/>
    <x v="6"/>
    <x v="0"/>
  </r>
  <r>
    <x v="783"/>
    <x v="784"/>
    <s v="Mahmut"/>
    <s v="Aksel"/>
    <x v="8"/>
    <x v="13"/>
    <x v="7"/>
    <x v="1"/>
  </r>
  <r>
    <x v="784"/>
    <x v="785"/>
    <s v="Hande"/>
    <s v="Pınarbaşılı"/>
    <x v="1"/>
    <x v="12"/>
    <x v="3"/>
    <x v="1"/>
  </r>
  <r>
    <x v="785"/>
    <x v="786"/>
    <s v="Selim"/>
    <s v="Öney Kurnaz"/>
    <x v="2"/>
    <x v="11"/>
    <x v="4"/>
    <x v="0"/>
  </r>
  <r>
    <x v="786"/>
    <x v="787"/>
    <s v="Hatice"/>
    <s v="Yabul"/>
    <x v="7"/>
    <x v="10"/>
    <x v="1"/>
    <x v="2"/>
  </r>
  <r>
    <x v="787"/>
    <x v="788"/>
    <s v="Ali"/>
    <s v="Seçkin Ayvaz"/>
    <x v="4"/>
    <x v="9"/>
    <x v="1"/>
    <x v="2"/>
  </r>
  <r>
    <x v="788"/>
    <x v="789"/>
    <s v="Jülide"/>
    <s v="Zehra Uluba"/>
    <x v="7"/>
    <x v="9"/>
    <x v="7"/>
    <x v="0"/>
  </r>
  <r>
    <x v="789"/>
    <x v="790"/>
    <s v="Görkem"/>
    <s v="Abacıoğlu"/>
    <x v="2"/>
    <x v="3"/>
    <x v="7"/>
    <x v="1"/>
  </r>
  <r>
    <x v="790"/>
    <x v="791"/>
    <s v="Mustafa"/>
    <s v="Gençdal"/>
    <x v="0"/>
    <x v="10"/>
    <x v="2"/>
    <x v="0"/>
  </r>
  <r>
    <x v="791"/>
    <x v="792"/>
    <s v="Ahmet"/>
    <s v="Emre Ülgen"/>
    <x v="3"/>
    <x v="11"/>
    <x v="2"/>
    <x v="2"/>
  </r>
  <r>
    <x v="792"/>
    <x v="793"/>
    <s v="Mehmet"/>
    <s v="Kocabaş"/>
    <x v="8"/>
    <x v="0"/>
    <x v="4"/>
    <x v="1"/>
  </r>
  <r>
    <x v="793"/>
    <x v="794"/>
    <s v="Burcu"/>
    <s v="Akca Çağlar"/>
    <x v="4"/>
    <x v="2"/>
    <x v="6"/>
    <x v="2"/>
  </r>
  <r>
    <x v="794"/>
    <x v="795"/>
    <s v="Ferdi"/>
    <s v="Bayram"/>
    <x v="8"/>
    <x v="6"/>
    <x v="4"/>
    <x v="4"/>
  </r>
  <r>
    <x v="795"/>
    <x v="796"/>
    <s v="Muhammet"/>
    <s v="Devran Yıldız"/>
    <x v="2"/>
    <x v="8"/>
    <x v="1"/>
    <x v="2"/>
  </r>
  <r>
    <x v="796"/>
    <x v="797"/>
    <s v="Elif"/>
    <s v="Erol"/>
    <x v="6"/>
    <x v="11"/>
    <x v="3"/>
    <x v="1"/>
  </r>
  <r>
    <x v="797"/>
    <x v="798"/>
    <s v="Hasibe"/>
    <s v="Batmaz"/>
    <x v="8"/>
    <x v="7"/>
    <x v="5"/>
    <x v="2"/>
  </r>
  <r>
    <x v="798"/>
    <x v="799"/>
    <s v="Nuray"/>
    <s v="Çetin"/>
    <x v="0"/>
    <x v="0"/>
    <x v="6"/>
    <x v="1"/>
  </r>
  <r>
    <x v="799"/>
    <x v="800"/>
    <s v="Muhlis"/>
    <s v="Kıraslan"/>
    <x v="3"/>
    <x v="4"/>
    <x v="2"/>
    <x v="0"/>
  </r>
  <r>
    <x v="800"/>
    <x v="801"/>
    <s v="İkram"/>
    <s v="Küfeciler"/>
    <x v="3"/>
    <x v="10"/>
    <x v="7"/>
    <x v="0"/>
  </r>
  <r>
    <x v="801"/>
    <x v="802"/>
    <s v="Esra"/>
    <s v="Polat Çiçek"/>
    <x v="0"/>
    <x v="2"/>
    <x v="5"/>
    <x v="2"/>
  </r>
  <r>
    <x v="802"/>
    <x v="803"/>
    <s v="Mustafa"/>
    <s v="Eker"/>
    <x v="1"/>
    <x v="6"/>
    <x v="1"/>
    <x v="0"/>
  </r>
  <r>
    <x v="803"/>
    <x v="804"/>
    <s v="Aylia"/>
    <s v="Sarıca Darol"/>
    <x v="6"/>
    <x v="9"/>
    <x v="2"/>
    <x v="1"/>
  </r>
  <r>
    <x v="804"/>
    <x v="805"/>
    <s v="Ahmet"/>
    <s v="Erdoğan"/>
    <x v="5"/>
    <x v="0"/>
    <x v="5"/>
    <x v="0"/>
  </r>
  <r>
    <x v="805"/>
    <x v="806"/>
    <s v="Süheyla"/>
    <s v="Amirova Uçan"/>
    <x v="4"/>
    <x v="10"/>
    <x v="0"/>
    <x v="1"/>
  </r>
  <r>
    <x v="806"/>
    <x v="807"/>
    <s v="Nevroz"/>
    <s v="Ten"/>
    <x v="0"/>
    <x v="12"/>
    <x v="2"/>
    <x v="1"/>
  </r>
  <r>
    <x v="807"/>
    <x v="808"/>
    <s v="Özlem"/>
    <s v="Topaloğlu"/>
    <x v="5"/>
    <x v="2"/>
    <x v="7"/>
    <x v="2"/>
  </r>
  <r>
    <x v="808"/>
    <x v="809"/>
    <s v="Mehmet"/>
    <s v="Aydıner"/>
    <x v="2"/>
    <x v="1"/>
    <x v="2"/>
    <x v="3"/>
  </r>
  <r>
    <x v="809"/>
    <x v="810"/>
    <s v="Burak"/>
    <s v="Yurdakök"/>
    <x v="2"/>
    <x v="11"/>
    <x v="0"/>
    <x v="0"/>
  </r>
  <r>
    <x v="810"/>
    <x v="811"/>
    <s v="Feza"/>
    <s v="Sevük"/>
    <x v="5"/>
    <x v="0"/>
    <x v="6"/>
    <x v="1"/>
  </r>
  <r>
    <x v="811"/>
    <x v="812"/>
    <s v="Kenan"/>
    <s v="Ahmet Özcan"/>
    <x v="6"/>
    <x v="5"/>
    <x v="3"/>
    <x v="2"/>
  </r>
  <r>
    <x v="812"/>
    <x v="813"/>
    <s v="Özcan"/>
    <s v="Tuğcugil"/>
    <x v="1"/>
    <x v="3"/>
    <x v="2"/>
    <x v="1"/>
  </r>
  <r>
    <x v="813"/>
    <x v="814"/>
    <s v="Ömer"/>
    <s v="Özer"/>
    <x v="3"/>
    <x v="4"/>
    <x v="2"/>
    <x v="2"/>
  </r>
  <r>
    <x v="814"/>
    <x v="815"/>
    <s v="Filiz"/>
    <s v="Filiz"/>
    <x v="4"/>
    <x v="11"/>
    <x v="0"/>
    <x v="0"/>
  </r>
  <r>
    <x v="815"/>
    <x v="816"/>
    <s v="Süheyla"/>
    <s v="Kuyucu"/>
    <x v="4"/>
    <x v="7"/>
    <x v="3"/>
    <x v="0"/>
  </r>
  <r>
    <x v="816"/>
    <x v="817"/>
    <s v="Onur"/>
    <s v="Kadir Dumlu"/>
    <x v="3"/>
    <x v="2"/>
    <x v="7"/>
    <x v="1"/>
  </r>
  <r>
    <x v="817"/>
    <x v="818"/>
    <s v="Jale"/>
    <s v="Alay"/>
    <x v="2"/>
    <x v="1"/>
    <x v="3"/>
    <x v="1"/>
  </r>
  <r>
    <x v="818"/>
    <x v="819"/>
    <s v="Murat"/>
    <s v="Altuntaş"/>
    <x v="8"/>
    <x v="3"/>
    <x v="5"/>
    <x v="4"/>
  </r>
  <r>
    <x v="819"/>
    <x v="820"/>
    <s v="Burcu"/>
    <s v="İnci Kenar"/>
    <x v="6"/>
    <x v="8"/>
    <x v="5"/>
    <x v="3"/>
  </r>
  <r>
    <x v="820"/>
    <x v="821"/>
    <s v="Seçkin"/>
    <s v="Akın"/>
    <x v="0"/>
    <x v="12"/>
    <x v="1"/>
    <x v="0"/>
  </r>
  <r>
    <x v="821"/>
    <x v="822"/>
    <s v="Funda"/>
    <s v="Kısa Karakaya"/>
    <x v="6"/>
    <x v="6"/>
    <x v="6"/>
    <x v="1"/>
  </r>
  <r>
    <x v="822"/>
    <x v="823"/>
    <s v="Edip"/>
    <s v="Güvenç Sert"/>
    <x v="5"/>
    <x v="7"/>
    <x v="7"/>
    <x v="2"/>
  </r>
  <r>
    <x v="823"/>
    <x v="824"/>
    <s v="Murat"/>
    <s v="Aydoğan"/>
    <x v="4"/>
    <x v="12"/>
    <x v="1"/>
    <x v="2"/>
  </r>
  <r>
    <x v="824"/>
    <x v="825"/>
    <s v="Demir"/>
    <s v="Yüksel"/>
    <x v="0"/>
    <x v="13"/>
    <x v="3"/>
    <x v="1"/>
  </r>
  <r>
    <x v="825"/>
    <x v="826"/>
    <s v="Yusuf"/>
    <s v="Hepkaya"/>
    <x v="4"/>
    <x v="8"/>
    <x v="5"/>
    <x v="0"/>
  </r>
  <r>
    <x v="826"/>
    <x v="827"/>
    <s v="Zeynep"/>
    <s v="Gökçe Ayvaz"/>
    <x v="3"/>
    <x v="4"/>
    <x v="6"/>
    <x v="0"/>
  </r>
  <r>
    <x v="827"/>
    <x v="828"/>
    <s v="Mehmet"/>
    <s v="Reşit Özdoğan Kavzoğlu"/>
    <x v="7"/>
    <x v="7"/>
    <x v="3"/>
    <x v="1"/>
  </r>
  <r>
    <x v="828"/>
    <x v="829"/>
    <s v="Ömer"/>
    <s v="Uzun"/>
    <x v="8"/>
    <x v="8"/>
    <x v="1"/>
    <x v="2"/>
  </r>
  <r>
    <x v="829"/>
    <x v="830"/>
    <s v="Çağdaş"/>
    <s v="Aydoğan"/>
    <x v="4"/>
    <x v="0"/>
    <x v="1"/>
    <x v="0"/>
  </r>
  <r>
    <x v="830"/>
    <x v="831"/>
    <s v="Özlem"/>
    <s v="Sarıkaya"/>
    <x v="8"/>
    <x v="4"/>
    <x v="4"/>
    <x v="0"/>
  </r>
  <r>
    <x v="831"/>
    <x v="832"/>
    <s v="İlknur"/>
    <s v="Dönmez"/>
    <x v="6"/>
    <x v="6"/>
    <x v="5"/>
    <x v="2"/>
  </r>
  <r>
    <x v="832"/>
    <x v="833"/>
    <s v="Leziz"/>
    <s v="Değirmenci"/>
    <x v="5"/>
    <x v="4"/>
    <x v="6"/>
    <x v="2"/>
  </r>
  <r>
    <x v="833"/>
    <x v="834"/>
    <s v="Serdar"/>
    <s v="Yücel"/>
    <x v="3"/>
    <x v="5"/>
    <x v="6"/>
    <x v="0"/>
  </r>
  <r>
    <x v="834"/>
    <x v="835"/>
    <s v="Mahperi"/>
    <s v="Gündoğdu"/>
    <x v="6"/>
    <x v="1"/>
    <x v="7"/>
    <x v="1"/>
  </r>
  <r>
    <x v="835"/>
    <x v="836"/>
    <s v="Kenan"/>
    <s v="Taşkın"/>
    <x v="6"/>
    <x v="12"/>
    <x v="4"/>
    <x v="1"/>
  </r>
  <r>
    <x v="836"/>
    <x v="837"/>
    <s v="Nurdan"/>
    <s v="Çift"/>
    <x v="2"/>
    <x v="5"/>
    <x v="2"/>
    <x v="1"/>
  </r>
  <r>
    <x v="837"/>
    <x v="838"/>
    <s v="Bala"/>
    <s v="Başak Yıldız"/>
    <x v="8"/>
    <x v="4"/>
    <x v="2"/>
    <x v="2"/>
  </r>
  <r>
    <x v="838"/>
    <x v="839"/>
    <s v="Reyhan"/>
    <s v="Paköz"/>
    <x v="0"/>
    <x v="9"/>
    <x v="6"/>
    <x v="2"/>
  </r>
  <r>
    <x v="839"/>
    <x v="840"/>
    <s v="Cumhur"/>
    <s v="Gençpınar"/>
    <x v="4"/>
    <x v="2"/>
    <x v="1"/>
    <x v="0"/>
  </r>
  <r>
    <x v="840"/>
    <x v="841"/>
    <s v="Nilgün"/>
    <s v="Akca Çağlar"/>
    <x v="3"/>
    <x v="5"/>
    <x v="3"/>
    <x v="0"/>
  </r>
  <r>
    <x v="841"/>
    <x v="842"/>
    <s v="Fatıma"/>
    <s v="İlay Bayam"/>
    <x v="7"/>
    <x v="5"/>
    <x v="6"/>
    <x v="2"/>
  </r>
  <r>
    <x v="842"/>
    <x v="843"/>
    <s v="Zehra"/>
    <s v="Demirelli"/>
    <x v="1"/>
    <x v="5"/>
    <x v="0"/>
    <x v="2"/>
  </r>
  <r>
    <x v="843"/>
    <x v="844"/>
    <s v="Ergül"/>
    <s v="Üçer"/>
    <x v="8"/>
    <x v="1"/>
    <x v="5"/>
    <x v="2"/>
  </r>
  <r>
    <x v="844"/>
    <x v="845"/>
    <s v="Aybüke"/>
    <s v="Çipe"/>
    <x v="3"/>
    <x v="11"/>
    <x v="7"/>
    <x v="2"/>
  </r>
  <r>
    <x v="845"/>
    <x v="846"/>
    <s v="Sema"/>
    <s v="Sarı"/>
    <x v="1"/>
    <x v="12"/>
    <x v="1"/>
    <x v="1"/>
  </r>
  <r>
    <x v="846"/>
    <x v="847"/>
    <s v="Nevriye"/>
    <s v="Güler"/>
    <x v="0"/>
    <x v="9"/>
    <x v="3"/>
    <x v="2"/>
  </r>
  <r>
    <x v="847"/>
    <x v="848"/>
    <s v="Ülkü"/>
    <s v="Çildir"/>
    <x v="3"/>
    <x v="8"/>
    <x v="2"/>
    <x v="0"/>
  </r>
  <r>
    <x v="848"/>
    <x v="849"/>
    <s v="İsmail"/>
    <s v="Bölük"/>
    <x v="6"/>
    <x v="3"/>
    <x v="7"/>
    <x v="1"/>
  </r>
  <r>
    <x v="849"/>
    <x v="850"/>
    <s v="Zühal"/>
    <s v="Öney Kurnaz"/>
    <x v="3"/>
    <x v="4"/>
    <x v="3"/>
    <x v="2"/>
  </r>
  <r>
    <x v="850"/>
    <x v="851"/>
    <s v="Emel"/>
    <s v="Yadigaroğlu"/>
    <x v="7"/>
    <x v="0"/>
    <x v="0"/>
    <x v="1"/>
  </r>
  <r>
    <x v="851"/>
    <x v="852"/>
    <s v="Birsen"/>
    <s v="Erdem"/>
    <x v="0"/>
    <x v="0"/>
    <x v="1"/>
    <x v="1"/>
  </r>
  <r>
    <x v="852"/>
    <x v="853"/>
    <s v="Eftal"/>
    <s v="Murat Sezer"/>
    <x v="3"/>
    <x v="8"/>
    <x v="3"/>
    <x v="0"/>
  </r>
  <r>
    <x v="853"/>
    <x v="854"/>
    <s v="Mesut"/>
    <s v="Koca"/>
    <x v="0"/>
    <x v="1"/>
    <x v="2"/>
    <x v="4"/>
  </r>
  <r>
    <x v="854"/>
    <x v="855"/>
    <s v="Mutlu"/>
    <s v="Uzun"/>
    <x v="6"/>
    <x v="6"/>
    <x v="4"/>
    <x v="2"/>
  </r>
  <r>
    <x v="855"/>
    <x v="856"/>
    <s v="Cem"/>
    <s v="Onay"/>
    <x v="6"/>
    <x v="13"/>
    <x v="7"/>
    <x v="0"/>
  </r>
  <r>
    <x v="856"/>
    <x v="857"/>
    <s v="Abdullah"/>
    <s v="Arif Baz"/>
    <x v="5"/>
    <x v="13"/>
    <x v="1"/>
    <x v="2"/>
  </r>
  <r>
    <x v="857"/>
    <x v="858"/>
    <s v="İbrahim"/>
    <s v="Ekici"/>
    <x v="6"/>
    <x v="13"/>
    <x v="0"/>
    <x v="0"/>
  </r>
  <r>
    <x v="858"/>
    <x v="859"/>
    <s v="Meltem"/>
    <s v="Özkan"/>
    <x v="4"/>
    <x v="0"/>
    <x v="1"/>
    <x v="2"/>
  </r>
  <r>
    <x v="859"/>
    <x v="860"/>
    <s v="Önder"/>
    <s v="Çalışkantürk"/>
    <x v="1"/>
    <x v="11"/>
    <x v="5"/>
    <x v="2"/>
  </r>
  <r>
    <x v="860"/>
    <x v="861"/>
    <s v="Latife"/>
    <s v="Kocakaya Altundal"/>
    <x v="2"/>
    <x v="5"/>
    <x v="5"/>
    <x v="2"/>
  </r>
  <r>
    <x v="861"/>
    <x v="862"/>
    <s v="Yılmaz"/>
    <s v="Oral"/>
    <x v="6"/>
    <x v="13"/>
    <x v="2"/>
    <x v="2"/>
  </r>
  <r>
    <x v="862"/>
    <x v="863"/>
    <s v="Nazan"/>
    <s v="Yurt"/>
    <x v="0"/>
    <x v="2"/>
    <x v="7"/>
    <x v="1"/>
  </r>
  <r>
    <x v="863"/>
    <x v="864"/>
    <s v="Mustafa"/>
    <s v="Başkan"/>
    <x v="2"/>
    <x v="2"/>
    <x v="0"/>
    <x v="0"/>
  </r>
  <r>
    <x v="864"/>
    <x v="865"/>
    <s v="Melia"/>
    <s v="Sürmen Akyol"/>
    <x v="8"/>
    <x v="4"/>
    <x v="2"/>
    <x v="2"/>
  </r>
  <r>
    <x v="865"/>
    <x v="866"/>
    <s v="Ergün"/>
    <s v="Özdoğan Kavzoğlu"/>
    <x v="0"/>
    <x v="4"/>
    <x v="2"/>
    <x v="2"/>
  </r>
  <r>
    <x v="866"/>
    <x v="867"/>
    <s v="Özlem"/>
    <s v="Özavcı Aygün"/>
    <x v="3"/>
    <x v="6"/>
    <x v="0"/>
    <x v="2"/>
  </r>
  <r>
    <x v="867"/>
    <x v="868"/>
    <s v="Fuat"/>
    <s v="Ernis Fidan"/>
    <x v="0"/>
    <x v="9"/>
    <x v="5"/>
    <x v="1"/>
  </r>
  <r>
    <x v="868"/>
    <x v="869"/>
    <s v="Eyyup"/>
    <s v="Sabri Öztürk"/>
    <x v="2"/>
    <x v="1"/>
    <x v="4"/>
    <x v="2"/>
  </r>
  <r>
    <x v="869"/>
    <x v="870"/>
    <s v="Haluk"/>
    <s v="Yılmaz"/>
    <x v="2"/>
    <x v="4"/>
    <x v="4"/>
    <x v="2"/>
  </r>
  <r>
    <x v="870"/>
    <x v="871"/>
    <s v="Ahmet"/>
    <s v="Bıçakçı"/>
    <x v="2"/>
    <x v="1"/>
    <x v="3"/>
    <x v="2"/>
  </r>
  <r>
    <x v="871"/>
    <x v="872"/>
    <s v="Mümüne"/>
    <s v="Yüksel"/>
    <x v="2"/>
    <x v="8"/>
    <x v="7"/>
    <x v="2"/>
  </r>
  <r>
    <x v="872"/>
    <x v="873"/>
    <s v="Olcay"/>
    <s v="Başak Su Dur"/>
    <x v="8"/>
    <x v="1"/>
    <x v="4"/>
    <x v="2"/>
  </r>
  <r>
    <x v="873"/>
    <x v="874"/>
    <s v="Fuat"/>
    <s v="Yiğit"/>
    <x v="4"/>
    <x v="11"/>
    <x v="5"/>
    <x v="2"/>
  </r>
  <r>
    <x v="874"/>
    <x v="875"/>
    <s v="Rüştü"/>
    <s v="Doğan"/>
    <x v="2"/>
    <x v="6"/>
    <x v="6"/>
    <x v="4"/>
  </r>
  <r>
    <x v="875"/>
    <x v="876"/>
    <s v="Erkan"/>
    <s v="Kırhan"/>
    <x v="4"/>
    <x v="8"/>
    <x v="6"/>
    <x v="2"/>
  </r>
  <r>
    <x v="876"/>
    <x v="877"/>
    <s v="Meral"/>
    <s v="Leman Akgül"/>
    <x v="2"/>
    <x v="10"/>
    <x v="2"/>
    <x v="2"/>
  </r>
  <r>
    <x v="877"/>
    <x v="878"/>
    <s v="Ersagun"/>
    <s v="Şatır Ertem"/>
    <x v="4"/>
    <x v="2"/>
    <x v="1"/>
    <x v="1"/>
  </r>
  <r>
    <x v="878"/>
    <x v="879"/>
    <s v="Sema"/>
    <s v="Nilay Akyol"/>
    <x v="2"/>
    <x v="4"/>
    <x v="7"/>
    <x v="2"/>
  </r>
  <r>
    <x v="879"/>
    <x v="880"/>
    <s v="Mehmet"/>
    <s v="Hüseyin Ten"/>
    <x v="4"/>
    <x v="10"/>
    <x v="3"/>
    <x v="2"/>
  </r>
  <r>
    <x v="880"/>
    <x v="881"/>
    <s v="Ercan"/>
    <s v="Tüfenk"/>
    <x v="1"/>
    <x v="6"/>
    <x v="7"/>
    <x v="1"/>
  </r>
  <r>
    <x v="881"/>
    <x v="882"/>
    <s v="Fatih"/>
    <s v="Almacıoğlu"/>
    <x v="1"/>
    <x v="1"/>
    <x v="6"/>
    <x v="2"/>
  </r>
  <r>
    <x v="882"/>
    <x v="883"/>
    <s v="Rengin"/>
    <s v="Aslıhan Anık"/>
    <x v="6"/>
    <x v="6"/>
    <x v="4"/>
    <x v="1"/>
  </r>
  <r>
    <x v="883"/>
    <x v="884"/>
    <s v="Volkan"/>
    <s v="Özkan"/>
    <x v="8"/>
    <x v="3"/>
    <x v="5"/>
    <x v="2"/>
  </r>
  <r>
    <x v="884"/>
    <x v="885"/>
    <s v="Beyza"/>
    <s v="Taşar"/>
    <x v="2"/>
    <x v="6"/>
    <x v="6"/>
    <x v="0"/>
  </r>
  <r>
    <x v="885"/>
    <x v="886"/>
    <s v="Umut"/>
    <s v="Seda Bereket"/>
    <x v="5"/>
    <x v="0"/>
    <x v="5"/>
    <x v="2"/>
  </r>
  <r>
    <x v="886"/>
    <x v="887"/>
    <s v="Sema"/>
    <s v="Nilay Işık"/>
    <x v="2"/>
    <x v="12"/>
    <x v="1"/>
    <x v="1"/>
  </r>
  <r>
    <x v="887"/>
    <x v="888"/>
    <s v="Latife"/>
    <s v="Karadeniz"/>
    <x v="6"/>
    <x v="5"/>
    <x v="2"/>
    <x v="2"/>
  </r>
  <r>
    <x v="888"/>
    <x v="889"/>
    <s v="Ahmet"/>
    <s v="Ali Yılmaz"/>
    <x v="3"/>
    <x v="1"/>
    <x v="1"/>
    <x v="2"/>
  </r>
  <r>
    <x v="889"/>
    <x v="890"/>
    <s v="Özlem"/>
    <s v="Özan Sanhal"/>
    <x v="4"/>
    <x v="4"/>
    <x v="0"/>
    <x v="0"/>
  </r>
  <r>
    <x v="890"/>
    <x v="891"/>
    <s v="Ufuk"/>
    <s v="Servet"/>
    <x v="8"/>
    <x v="3"/>
    <x v="2"/>
    <x v="1"/>
  </r>
  <r>
    <x v="891"/>
    <x v="892"/>
    <s v="Füsun"/>
    <s v="Yıldırım"/>
    <x v="7"/>
    <x v="9"/>
    <x v="6"/>
    <x v="0"/>
  </r>
  <r>
    <x v="892"/>
    <x v="893"/>
    <s v="Konuralp"/>
    <s v="Ergülü Eşmen"/>
    <x v="8"/>
    <x v="5"/>
    <x v="0"/>
    <x v="0"/>
  </r>
  <r>
    <x v="893"/>
    <x v="894"/>
    <s v="Mukaddes"/>
    <s v="Danışoğlu"/>
    <x v="2"/>
    <x v="3"/>
    <x v="0"/>
    <x v="2"/>
  </r>
  <r>
    <x v="894"/>
    <x v="895"/>
    <s v="Erkan"/>
    <s v="Bükülmez"/>
    <x v="0"/>
    <x v="6"/>
    <x v="1"/>
    <x v="1"/>
  </r>
  <r>
    <x v="895"/>
    <x v="896"/>
    <s v="Belgin"/>
    <s v="Aksakal"/>
    <x v="3"/>
    <x v="6"/>
    <x v="0"/>
    <x v="0"/>
  </r>
  <r>
    <x v="896"/>
    <x v="897"/>
    <s v="Arzu"/>
    <s v="Yıldız"/>
    <x v="0"/>
    <x v="11"/>
    <x v="5"/>
    <x v="2"/>
  </r>
  <r>
    <x v="897"/>
    <x v="898"/>
    <s v="Ayşe"/>
    <s v="Ahsen Kırhan"/>
    <x v="7"/>
    <x v="5"/>
    <x v="2"/>
    <x v="2"/>
  </r>
  <r>
    <x v="898"/>
    <x v="899"/>
    <s v="İnci"/>
    <s v="Kuserli"/>
    <x v="4"/>
    <x v="7"/>
    <x v="3"/>
    <x v="2"/>
  </r>
  <r>
    <x v="899"/>
    <x v="900"/>
    <s v="Nurettin"/>
    <s v="İrem Ergöz"/>
    <x v="5"/>
    <x v="2"/>
    <x v="4"/>
    <x v="0"/>
  </r>
  <r>
    <x v="900"/>
    <x v="901"/>
    <s v="Şirin"/>
    <s v="Güler"/>
    <x v="0"/>
    <x v="5"/>
    <x v="3"/>
    <x v="1"/>
  </r>
  <r>
    <x v="901"/>
    <x v="902"/>
    <s v="Tülay"/>
    <s v="Gülen"/>
    <x v="2"/>
    <x v="12"/>
    <x v="5"/>
    <x v="2"/>
  </r>
  <r>
    <x v="902"/>
    <x v="903"/>
    <s v="Ayşegül"/>
    <s v="Atay"/>
    <x v="3"/>
    <x v="12"/>
    <x v="6"/>
    <x v="2"/>
  </r>
  <r>
    <x v="903"/>
    <x v="904"/>
    <s v="Hilal"/>
    <s v="Timurtaş Dayar"/>
    <x v="6"/>
    <x v="8"/>
    <x v="7"/>
    <x v="2"/>
  </r>
  <r>
    <x v="904"/>
    <x v="905"/>
    <s v="Pınar"/>
    <s v="Kişi"/>
    <x v="1"/>
    <x v="12"/>
    <x v="0"/>
    <x v="1"/>
  </r>
  <r>
    <x v="905"/>
    <x v="906"/>
    <s v="Onur"/>
    <s v="Kadir Ergülü Eşmen"/>
    <x v="0"/>
    <x v="9"/>
    <x v="4"/>
    <x v="1"/>
  </r>
  <r>
    <x v="906"/>
    <x v="907"/>
    <s v="Osman"/>
    <s v="Yalnız"/>
    <x v="2"/>
    <x v="8"/>
    <x v="0"/>
    <x v="2"/>
  </r>
  <r>
    <x v="907"/>
    <x v="908"/>
    <s v="Serkan"/>
    <s v="Fazlı Akkoyunlu"/>
    <x v="3"/>
    <x v="2"/>
    <x v="1"/>
    <x v="0"/>
  </r>
  <r>
    <x v="908"/>
    <x v="909"/>
    <s v="Zeynep"/>
    <s v="Uyğun"/>
    <x v="3"/>
    <x v="10"/>
    <x v="0"/>
    <x v="1"/>
  </r>
  <r>
    <x v="909"/>
    <x v="910"/>
    <s v="Gülden"/>
    <s v="Erden"/>
    <x v="3"/>
    <x v="11"/>
    <x v="0"/>
    <x v="0"/>
  </r>
  <r>
    <x v="910"/>
    <x v="911"/>
    <s v="Görkem"/>
    <s v="Öcal"/>
    <x v="0"/>
    <x v="11"/>
    <x v="2"/>
    <x v="0"/>
  </r>
  <r>
    <x v="911"/>
    <x v="912"/>
    <s v="Hasan"/>
    <s v="Güney Kocabaş"/>
    <x v="4"/>
    <x v="7"/>
    <x v="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F7527E-D6D0-41D7-A081-F85A209485AB}" name="PivotTable19" cacheId="44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4">
  <location ref="K13:Q23" firstHeaderRow="1" firstDataRow="2" firstDataCol="1"/>
  <pivotFields count="9">
    <pivotField numFmtId="22" showAll="0"/>
    <pivotField dataField="1" showAll="0">
      <items count="914">
        <item x="108"/>
        <item x="554"/>
        <item x="629"/>
        <item x="646"/>
        <item x="857"/>
        <item x="132"/>
        <item x="234"/>
        <item x="317"/>
        <item x="408"/>
        <item x="496"/>
        <item x="637"/>
        <item x="644"/>
        <item x="704"/>
        <item x="227"/>
        <item x="295"/>
        <item x="321"/>
        <item x="371"/>
        <item x="379"/>
        <item x="433"/>
        <item x="441"/>
        <item x="501"/>
        <item x="600"/>
        <item x="679"/>
        <item x="699"/>
        <item x="746"/>
        <item x="779"/>
        <item x="792"/>
        <item x="805"/>
        <item x="871"/>
        <item x="889"/>
        <item x="142"/>
        <item x="341"/>
        <item x="366"/>
        <item x="488"/>
        <item x="535"/>
        <item x="624"/>
        <item x="670"/>
        <item x="682"/>
        <item x="788"/>
        <item x="221"/>
        <item x="329"/>
        <item x="428"/>
        <item x="435"/>
        <item x="767"/>
        <item x="897"/>
        <item x="121"/>
        <item x="480"/>
        <item x="686"/>
        <item x="383"/>
        <item x="425"/>
        <item x="103"/>
        <item x="109"/>
        <item x="161"/>
        <item x="173"/>
        <item x="210"/>
        <item x="218"/>
        <item x="249"/>
        <item x="268"/>
        <item x="280"/>
        <item x="342"/>
        <item x="397"/>
        <item x="447"/>
        <item x="448"/>
        <item x="495"/>
        <item x="530"/>
        <item x="542"/>
        <item x="570"/>
        <item x="588"/>
        <item x="597"/>
        <item x="56"/>
        <item x="664"/>
        <item x="698"/>
        <item x="742"/>
        <item x="804"/>
        <item x="845"/>
        <item x="898"/>
        <item x="903"/>
        <item x="418"/>
        <item x="502"/>
        <item x="27"/>
        <item x="493"/>
        <item x="505"/>
        <item x="506"/>
        <item x="508"/>
        <item x="549"/>
        <item x="635"/>
        <item x="648"/>
        <item x="777"/>
        <item x="838"/>
        <item x="137"/>
        <item x="228"/>
        <item x="241"/>
        <item x="242"/>
        <item x="276"/>
        <item x="302"/>
        <item x="323"/>
        <item x="426"/>
        <item x="458"/>
        <item x="536"/>
        <item x="602"/>
        <item x="618"/>
        <item x="631"/>
        <item x="754"/>
        <item x="885"/>
        <item x="896"/>
        <item x="102"/>
        <item x="191"/>
        <item x="200"/>
        <item x="223"/>
        <item x="25"/>
        <item x="286"/>
        <item x="338"/>
        <item x="512"/>
        <item x="773"/>
        <item x="852"/>
        <item x="93"/>
        <item x="104"/>
        <item x="117"/>
        <item x="243"/>
        <item x="23"/>
        <item x="289"/>
        <item x="438"/>
        <item x="500"/>
        <item x="591"/>
        <item x="674"/>
        <item x="61"/>
        <item x="727"/>
        <item x="739"/>
        <item x="794"/>
        <item x="810"/>
        <item x="820"/>
        <item x="676"/>
        <item x="399"/>
        <item x="615"/>
        <item x="133"/>
        <item x="163"/>
        <item x="32"/>
        <item x="377"/>
        <item x="36"/>
        <item x="416"/>
        <item x="429"/>
        <item x="579"/>
        <item x="671"/>
        <item x="768"/>
        <item x="856"/>
        <item x="274"/>
        <item x="464"/>
        <item x="840"/>
        <item x="830"/>
        <item x="15"/>
        <item x="300"/>
        <item x="396"/>
        <item x="492"/>
        <item x="782"/>
        <item x="192"/>
        <item x="240"/>
        <item x="254"/>
        <item x="257"/>
        <item x="262"/>
        <item x="504"/>
        <item x="541"/>
        <item x="611"/>
        <item x="643"/>
        <item x="722"/>
        <item x="750"/>
        <item x="825"/>
        <item x="112"/>
        <item x="139"/>
        <item x="362"/>
        <item x="419"/>
        <item x="490"/>
        <item x="619"/>
        <item x="57"/>
        <item x="442"/>
        <item x="400"/>
        <item x="528"/>
        <item x="560"/>
        <item x="98"/>
        <item x="420"/>
        <item x="580"/>
        <item x="650"/>
        <item x="672"/>
        <item x="723"/>
        <item x="823"/>
        <item x="691"/>
        <item x="853"/>
        <item x="198"/>
        <item x="209"/>
        <item x="229"/>
        <item x="468"/>
        <item x="645"/>
        <item x="659"/>
        <item x="684"/>
        <item x="713"/>
        <item x="797"/>
        <item x="113"/>
        <item x="211"/>
        <item x="222"/>
        <item x="225"/>
        <item x="230"/>
        <item x="253"/>
        <item x="24"/>
        <item x="275"/>
        <item x="304"/>
        <item x="325"/>
        <item x="30"/>
        <item x="467"/>
        <item x="509"/>
        <item x="48"/>
        <item x="569"/>
        <item x="55"/>
        <item x="623"/>
        <item x="766"/>
        <item x="774"/>
        <item x="851"/>
        <item x="124"/>
        <item x="238"/>
        <item x="471"/>
        <item x="545"/>
        <item x="707"/>
        <item x="118"/>
        <item x="141"/>
        <item x="165"/>
        <item x="172"/>
        <item x="236"/>
        <item x="251"/>
        <item x="278"/>
        <item x="340"/>
        <item x="368"/>
        <item x="381"/>
        <item x="38"/>
        <item x="412"/>
        <item x="421"/>
        <item x="567"/>
        <item x="576"/>
        <item x="585"/>
        <item x="58"/>
        <item x="651"/>
        <item x="669"/>
        <item x="685"/>
        <item x="689"/>
        <item x="696"/>
        <item x="718"/>
        <item x="844"/>
        <item x="866"/>
        <item x="876"/>
        <item x="878"/>
        <item x="881"/>
        <item x="895"/>
        <item x="86"/>
        <item x="122"/>
        <item x="149"/>
        <item x="195"/>
        <item x="353"/>
        <item x="403"/>
        <item x="409"/>
        <item x="617"/>
        <item x="668"/>
        <item x="688"/>
        <item x="732"/>
        <item x="802"/>
        <item x="154"/>
        <item x="350"/>
        <item x="365"/>
        <item x="663"/>
        <item x="68"/>
        <item x="657"/>
        <item x="869"/>
        <item x="90"/>
        <item x="183"/>
        <item x="203"/>
        <item x="266"/>
        <item x="308"/>
        <item x="351"/>
        <item x="367"/>
        <item x="382"/>
        <item x="395"/>
        <item x="47"/>
        <item x="613"/>
        <item x="628"/>
        <item x="705"/>
        <item x="709"/>
        <item x="748"/>
        <item x="772"/>
        <item x="842"/>
        <item x="882"/>
        <item x="100"/>
        <item x="214"/>
        <item x="307"/>
        <item x="452"/>
        <item x="455"/>
        <item x="551"/>
        <item x="583"/>
        <item x="795"/>
        <item x="811"/>
        <item x="301"/>
        <item x="363"/>
        <item x="516"/>
        <item x="544"/>
        <item x="64"/>
        <item x="65"/>
        <item x="753"/>
        <item x="815"/>
        <item x="271"/>
        <item x="282"/>
        <item x="287"/>
        <item x="529"/>
        <item x="590"/>
        <item x="630"/>
        <item x="822"/>
        <item x="868"/>
        <item x="874"/>
        <item x="892"/>
        <item x="129"/>
        <item x="406"/>
        <item x="319"/>
        <item x="693"/>
        <item x="182"/>
        <item x="303"/>
        <item x="346"/>
        <item x="360"/>
        <item x="37"/>
        <item x="632"/>
        <item x="790"/>
        <item x="911"/>
        <item x="85"/>
        <item x="13"/>
        <item x="147"/>
        <item x="156"/>
        <item x="16"/>
        <item x="175"/>
        <item x="259"/>
        <item x="291"/>
        <item x="294"/>
        <item x="330"/>
        <item x="374"/>
        <item x="414"/>
        <item x="432"/>
        <item x="439"/>
        <item x="43"/>
        <item x="485"/>
        <item x="69"/>
        <item x="71"/>
        <item x="910"/>
        <item x="115"/>
        <item x="146"/>
        <item x="171"/>
        <item x="174"/>
        <item x="194"/>
        <item x="199"/>
        <item x="206"/>
        <item x="233"/>
        <item x="296"/>
        <item x="309"/>
        <item x="358"/>
        <item x="3"/>
        <item x="402"/>
        <item x="437"/>
        <item x="444"/>
        <item x="449"/>
        <item x="511"/>
        <item x="515"/>
        <item x="518"/>
        <item x="531"/>
        <item x="537"/>
        <item x="543"/>
        <item x="546"/>
        <item x="548"/>
        <item x="589"/>
        <item x="625"/>
        <item x="60"/>
        <item x="712"/>
        <item x="67"/>
        <item x="785"/>
        <item x="787"/>
        <item x="798"/>
        <item x="76"/>
        <item x="870"/>
        <item x="77"/>
        <item x="79"/>
        <item x="912"/>
        <item x="614"/>
        <item x="904"/>
        <item x="152"/>
        <item x="322"/>
        <item x="423"/>
        <item x="572"/>
        <item x="730"/>
        <item x="310"/>
        <item x="91"/>
        <item x="73"/>
        <item x="179"/>
        <item x="190"/>
        <item x="260"/>
        <item x="285"/>
        <item x="305"/>
        <item x="373"/>
        <item x="858"/>
        <item x="215"/>
        <item x="639"/>
        <item x="95"/>
        <item x="197"/>
        <item x="596"/>
        <item x="801"/>
        <item x="119"/>
        <item x="19"/>
        <item x="277"/>
        <item x="349"/>
        <item x="375"/>
        <item x="517"/>
        <item x="534"/>
        <item x="595"/>
        <item x="716"/>
        <item x="832"/>
        <item x="899"/>
        <item x="749"/>
        <item x="751"/>
        <item x="261"/>
        <item x="315"/>
        <item x="527"/>
        <item x="553"/>
        <item x="661"/>
        <item x="849"/>
        <item x="78"/>
        <item x="196"/>
        <item x="297"/>
        <item x="818"/>
        <item x="789"/>
        <item x="127"/>
        <item x="335"/>
        <item x="168"/>
        <item x="290"/>
        <item x="359"/>
        <item x="694"/>
        <item x="708"/>
        <item x="755"/>
        <item x="812"/>
        <item x="836"/>
        <item x="734"/>
        <item x="893"/>
        <item x="53"/>
        <item x="155"/>
        <item x="343"/>
        <item x="610"/>
        <item x="656"/>
        <item x="690"/>
        <item x="217"/>
        <item x="861"/>
        <item x="888"/>
        <item x="110"/>
        <item x="476"/>
        <item x="833"/>
        <item x="145"/>
        <item x="160"/>
        <item x="180"/>
        <item x="212"/>
        <item x="237"/>
        <item x="239"/>
        <item x="263"/>
        <item x="424"/>
        <item x="431"/>
        <item x="460"/>
        <item x="547"/>
        <item x="654"/>
        <item x="784"/>
        <item x="835"/>
        <item x="114"/>
        <item x="116"/>
        <item x="178"/>
        <item x="205"/>
        <item x="224"/>
        <item x="267"/>
        <item x="273"/>
        <item x="288"/>
        <item x="311"/>
        <item x="314"/>
        <item x="345"/>
        <item x="355"/>
        <item x="34"/>
        <item x="384"/>
        <item x="388"/>
        <item x="392"/>
        <item x="394"/>
        <item x="417"/>
        <item x="430"/>
        <item x="459"/>
        <item x="462"/>
        <item x="474"/>
        <item x="478"/>
        <item x="499"/>
        <item x="540"/>
        <item x="561"/>
        <item x="568"/>
        <item x="599"/>
        <item x="636"/>
        <item x="640"/>
        <item x="59"/>
        <item x="680"/>
        <item x="6"/>
        <item x="692"/>
        <item x="733"/>
        <item x="745"/>
        <item x="752"/>
        <item x="757"/>
        <item x="764"/>
        <item x="793"/>
        <item x="809"/>
        <item x="828"/>
        <item x="75"/>
        <item x="854"/>
        <item x="859"/>
        <item x="865"/>
        <item x="877"/>
        <item x="880"/>
        <item x="162"/>
        <item x="188"/>
        <item x="564"/>
        <item x="577"/>
        <item x="778"/>
        <item x="88"/>
        <item x="134"/>
        <item x="138"/>
        <item x="144"/>
        <item x="148"/>
        <item x="177"/>
        <item x="185"/>
        <item x="189"/>
        <item x="208"/>
        <item x="250"/>
        <item x="255"/>
        <item x="281"/>
        <item x="299"/>
        <item x="306"/>
        <item x="326"/>
        <item x="327"/>
        <item x="328"/>
        <item x="378"/>
        <item x="391"/>
        <item x="393"/>
        <item x="407"/>
        <item x="413"/>
        <item x="445"/>
        <item x="456"/>
        <item x="525"/>
        <item x="49"/>
        <item x="532"/>
        <item x="533"/>
        <item x="558"/>
        <item x="566"/>
        <item x="581"/>
        <item x="621"/>
        <item x="634"/>
        <item x="638"/>
        <item x="642"/>
        <item x="62"/>
        <item x="703"/>
        <item x="66"/>
        <item x="743"/>
        <item x="776"/>
        <item x="783"/>
        <item x="791"/>
        <item x="796"/>
        <item x="800"/>
        <item x="803"/>
        <item x="819"/>
        <item x="824"/>
        <item x="855"/>
        <item x="864"/>
        <item x="7"/>
        <item x="894"/>
        <item x="10"/>
        <item x="213"/>
        <item x="232"/>
        <item x="22"/>
        <item x="265"/>
        <item x="272"/>
        <item x="331"/>
        <item x="334"/>
        <item x="344"/>
        <item x="434"/>
        <item x="52"/>
        <item x="655"/>
        <item x="872"/>
        <item x="440"/>
        <item x="741"/>
        <item x="863"/>
        <item x="184"/>
        <item x="18"/>
        <item x="216"/>
        <item x="244"/>
        <item x="279"/>
        <item x="398"/>
        <item x="470"/>
        <item x="641"/>
        <item x="647"/>
        <item x="759"/>
        <item x="807"/>
        <item x="847"/>
        <item x="89"/>
        <item x="105"/>
        <item x="106"/>
        <item x="169"/>
        <item x="248"/>
        <item x="284"/>
        <item x="411"/>
        <item x="466"/>
        <item x="482"/>
        <item x="51"/>
        <item x="571"/>
        <item x="575"/>
        <item x="605"/>
        <item x="760"/>
        <item x="841"/>
        <item x="128"/>
        <item x="207"/>
        <item x="357"/>
        <item x="404"/>
        <item x="503"/>
        <item x="520"/>
        <item x="521"/>
        <item x="538"/>
        <item x="555"/>
        <item x="573"/>
        <item x="604"/>
        <item x="710"/>
        <item x="711"/>
        <item x="799"/>
        <item x="837"/>
        <item x="900"/>
        <item x="83"/>
        <item x="125"/>
        <item x="873"/>
        <item x="187"/>
        <item x="316"/>
        <item x="524"/>
        <item x="665"/>
        <item x="817"/>
        <item x="906"/>
        <item x="747"/>
        <item x="143"/>
        <item x="312"/>
        <item x="463"/>
        <item x="526"/>
        <item x="907"/>
        <item x="153"/>
        <item x="219"/>
        <item x="369"/>
        <item x="724"/>
        <item x="814"/>
        <item x="829"/>
        <item x="860"/>
        <item x="135"/>
        <item x="140"/>
        <item x="166"/>
        <item x="170"/>
        <item x="186"/>
        <item x="320"/>
        <item x="370"/>
        <item x="410"/>
        <item x="427"/>
        <item x="453"/>
        <item x="487"/>
        <item x="494"/>
        <item x="562"/>
        <item x="584"/>
        <item x="681"/>
        <item x="725"/>
        <item x="728"/>
        <item x="735"/>
        <item x="770"/>
        <item x="808"/>
        <item x="813"/>
        <item x="831"/>
        <item x="867"/>
        <item x="890"/>
        <item x="82"/>
        <item x="498"/>
        <item x="101"/>
        <item x="150"/>
        <item x="204"/>
        <item x="245"/>
        <item x="405"/>
        <item x="559"/>
        <item x="721"/>
        <item x="905"/>
        <item x="246"/>
        <item x="415"/>
        <item x="46"/>
        <item x="523"/>
        <item x="96"/>
        <item x="14"/>
        <item x="21"/>
        <item x="332"/>
        <item x="376"/>
        <item x="601"/>
        <item x="683"/>
        <item x="839"/>
        <item x="883"/>
        <item x="450"/>
        <item x="72"/>
        <item x="875"/>
        <item x="97"/>
        <item x="28"/>
        <item x="333"/>
        <item x="472"/>
        <item x="477"/>
        <item x="483"/>
        <item x="491"/>
        <item x="658"/>
        <item x="769"/>
        <item x="0"/>
        <item x="8"/>
        <item x="99"/>
        <item x="111"/>
        <item x="130"/>
        <item x="131"/>
        <item x="136"/>
        <item x="157"/>
        <item x="158"/>
        <item x="159"/>
        <item x="1"/>
        <item x="17"/>
        <item x="202"/>
        <item x="220"/>
        <item x="270"/>
        <item x="293"/>
        <item x="298"/>
        <item x="313"/>
        <item x="324"/>
        <item x="337"/>
        <item x="361"/>
        <item x="33"/>
        <item x="372"/>
        <item x="385"/>
        <item x="386"/>
        <item x="387"/>
        <item x="389"/>
        <item x="454"/>
        <item x="469"/>
        <item x="473"/>
        <item x="475"/>
        <item x="44"/>
        <item x="486"/>
        <item x="489"/>
        <item x="513"/>
        <item x="514"/>
        <item x="519"/>
        <item x="522"/>
        <item x="550"/>
        <item x="552"/>
        <item x="556"/>
        <item x="578"/>
        <item x="582"/>
        <item x="586"/>
        <item x="598"/>
        <item x="622"/>
        <item x="667"/>
        <item x="675"/>
        <item x="677"/>
        <item x="700"/>
        <item x="701"/>
        <item x="719"/>
        <item x="720"/>
        <item x="737"/>
        <item x="738"/>
        <item x="763"/>
        <item x="780"/>
        <item x="781"/>
        <item x="786"/>
        <item x="821"/>
        <item x="834"/>
        <item x="846"/>
        <item x="879"/>
        <item x="887"/>
        <item x="80"/>
        <item x="908"/>
        <item x="354"/>
        <item x="164"/>
        <item x="292"/>
        <item x="422"/>
        <item x="63"/>
        <item x="235"/>
        <item x="42"/>
        <item x="74"/>
        <item x="593"/>
        <item x="616"/>
        <item x="633"/>
        <item x="744"/>
        <item x="756"/>
        <item x="11"/>
        <item x="256"/>
        <item x="465"/>
        <item x="484"/>
        <item x="660"/>
        <item x="806"/>
        <item x="816"/>
        <item x="151"/>
        <item x="4"/>
        <item x="620"/>
        <item x="731"/>
        <item x="765"/>
        <item x="5"/>
        <item x="612"/>
        <item x="706"/>
        <item x="761"/>
        <item x="231"/>
        <item x="479"/>
        <item x="901"/>
        <item x="608"/>
        <item x="2"/>
        <item x="356"/>
        <item x="457"/>
        <item x="45"/>
        <item x="510"/>
        <item x="592"/>
        <item x="662"/>
        <item x="762"/>
        <item x="201"/>
        <item x="678"/>
        <item x="120"/>
        <item x="176"/>
        <item x="193"/>
        <item x="247"/>
        <item x="264"/>
        <item x="339"/>
        <item x="348"/>
        <item x="35"/>
        <item x="539"/>
        <item x="50"/>
        <item x="54"/>
        <item x="609"/>
        <item x="626"/>
        <item x="695"/>
        <item x="81"/>
        <item x="87"/>
        <item x="352"/>
        <item x="39"/>
        <item x="451"/>
        <item x="557"/>
        <item x="673"/>
        <item x="697"/>
        <item x="902"/>
        <item x="446"/>
        <item x="606"/>
        <item x="891"/>
        <item x="258"/>
        <item x="436"/>
        <item x="181"/>
        <item x="26"/>
        <item x="736"/>
        <item x="886"/>
        <item x="336"/>
        <item x="29"/>
        <item x="603"/>
        <item x="848"/>
        <item x="283"/>
        <item x="461"/>
        <item x="714"/>
        <item x="269"/>
        <item x="587"/>
        <item x="167"/>
        <item x="40"/>
        <item x="652"/>
        <item x="252"/>
        <item x="884"/>
        <item x="107"/>
        <item x="126"/>
        <item x="31"/>
        <item x="380"/>
        <item x="594"/>
        <item x="607"/>
        <item x="666"/>
        <item x="687"/>
        <item x="702"/>
        <item x="758"/>
        <item x="84"/>
        <item x="401"/>
        <item x="497"/>
        <item x="715"/>
        <item x="862"/>
        <item x="41"/>
        <item x="481"/>
        <item x="507"/>
        <item x="726"/>
        <item x="729"/>
        <item x="826"/>
        <item x="364"/>
        <item x="717"/>
        <item x="92"/>
        <item x="20"/>
        <item x="390"/>
        <item x="563"/>
        <item x="627"/>
        <item x="70"/>
        <item x="94"/>
        <item x="9"/>
        <item x="12"/>
        <item x="123"/>
        <item x="226"/>
        <item x="318"/>
        <item x="347"/>
        <item x="574"/>
        <item x="649"/>
        <item x="653"/>
        <item x="740"/>
        <item x="775"/>
        <item x="827"/>
        <item x="843"/>
        <item x="909"/>
        <item x="443"/>
        <item x="565"/>
        <item x="771"/>
        <item x="850"/>
        <item t="default"/>
      </items>
    </pivotField>
    <pivotField showAll="0"/>
    <pivotField showAll="0"/>
    <pivotField showAll="0"/>
    <pivotField showAll="0"/>
    <pivotField axis="axisRow" showAll="0">
      <items count="9">
        <item x="2"/>
        <item x="7"/>
        <item x="1"/>
        <item x="5"/>
        <item x="3"/>
        <item x="0"/>
        <item x="6"/>
        <item x="4"/>
        <item t="default"/>
      </items>
    </pivotField>
    <pivotField axis="axisCol" showAll="0">
      <items count="6">
        <item x="3"/>
        <item x="0"/>
        <item x="4"/>
        <item x="1"/>
        <item x="2"/>
        <item t="default"/>
      </items>
    </pivotField>
    <pivotField showAll="0" defaultSubtotal="0"/>
  </pivotFields>
  <rowFields count="1">
    <field x="6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7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ay İşlem Kodu" fld="1" subtotal="count" baseField="0" baseItem="0"/>
  </dataFields>
  <chartFormats count="5"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1E0E09-FC01-4970-A527-4D8943747683}" name="PivotTable6" cacheId="44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5">
  <location ref="Q3:R9" firstHeaderRow="1" firstDataRow="1" firstDataCol="1"/>
  <pivotFields count="9">
    <pivotField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showAll="0"/>
    <pivotField showAll="0"/>
    <pivotField showAll="0"/>
    <pivotField showAll="0">
      <items count="10">
        <item x="6"/>
        <item x="7"/>
        <item x="8"/>
        <item x="0"/>
        <item x="5"/>
        <item x="1"/>
        <item x="4"/>
        <item x="3"/>
        <item x="2"/>
        <item t="default"/>
      </items>
    </pivotField>
    <pivotField showAll="0"/>
    <pivotField showAll="0"/>
    <pivotField axis="axisRow" showAll="0">
      <items count="6">
        <item x="3"/>
        <item x="0"/>
        <item x="4"/>
        <item x="1"/>
        <item x="2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ay İşlem Kodu" fld="1" subtotal="count" baseField="0" baseItem="0"/>
  </dataFields>
  <chartFormats count="6"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A124AB-33BB-4C85-B211-D42EF5562105}" name="PivotTable4" cacheId="44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10">
  <location ref="E3:F18" firstHeaderRow="1" firstDataRow="1" firstDataCol="1"/>
  <pivotFields count="9">
    <pivotField numFmtId="22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showAll="0"/>
    <pivotField showAll="0"/>
    <pivotField showAll="0"/>
    <pivotField showAll="0">
      <items count="10">
        <item x="6"/>
        <item x="7"/>
        <item x="8"/>
        <item x="0"/>
        <item x="5"/>
        <item x="1"/>
        <item x="4"/>
        <item x="3"/>
        <item x="2"/>
        <item t="default"/>
      </items>
    </pivotField>
    <pivotField axis="axisRow" showAll="0">
      <items count="15">
        <item x="1"/>
        <item x="5"/>
        <item x="10"/>
        <item x="12"/>
        <item x="7"/>
        <item x="2"/>
        <item x="11"/>
        <item x="8"/>
        <item x="9"/>
        <item x="6"/>
        <item x="13"/>
        <item x="4"/>
        <item x="3"/>
        <item x="0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ay İşlem Kodu" fld="1" subtotal="count" baseField="0" baseItem="0"/>
  </dataFields>
  <chartFormats count="15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5" format="15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5" format="16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C635A5-9DC4-4692-BB7A-16982F128DF0}" name="PivotTable3" cacheId="6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chartFormat="7">
  <location ref="A14:B24" firstHeaderRow="1" firstDataRow="1" firstDataCol="1"/>
  <pivotFields count="8">
    <pivotField numFmtId="22" showAll="0"/>
    <pivotField dataField="1" showAll="0"/>
    <pivotField showAll="0"/>
    <pivotField showAll="0"/>
    <pivotField axis="axisRow" showAll="0" sortType="descending">
      <items count="10">
        <item x="2"/>
        <item x="3"/>
        <item x="4"/>
        <item x="1"/>
        <item x="5"/>
        <item x="0"/>
        <item x="8"/>
        <item x="7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</pivotFields>
  <rowFields count="1">
    <field x="4"/>
  </rowFields>
  <rowItems count="10">
    <i>
      <x v="1"/>
    </i>
    <i>
      <x v="5"/>
    </i>
    <i>
      <x v="2"/>
    </i>
    <i>
      <x/>
    </i>
    <i>
      <x v="6"/>
    </i>
    <i>
      <x v="3"/>
    </i>
    <i>
      <x v="8"/>
    </i>
    <i>
      <x v="4"/>
    </i>
    <i>
      <x v="7"/>
    </i>
    <i t="grand">
      <x/>
    </i>
  </rowItems>
  <colItems count="1">
    <i/>
  </colItems>
  <dataFields count="1">
    <dataField name="Say İşlem Kodu" fld="1" subtotal="count" baseField="0" baseItem="0"/>
  </dataFields>
  <chartFormats count="10">
    <chartFormat chart="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6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o1" displayName="Tablo1" ref="A1:I914" totalsRowShown="0">
  <autoFilter ref="A1:I914" xr:uid="{00000000-0009-0000-0100-000001000000}"/>
  <tableColumns count="9">
    <tableColumn id="2" xr3:uid="{00000000-0010-0000-0000-000002000000}" name="İşlem Kodu"/>
    <tableColumn id="3" xr3:uid="{00000000-0010-0000-0000-000003000000}" name="İsim"/>
    <tableColumn id="4" xr3:uid="{00000000-0010-0000-0000-000004000000}" name="Soyisim"/>
    <tableColumn id="5" xr3:uid="{00000000-0010-0000-0000-000005000000}" name="Şehir"/>
    <tableColumn id="6" xr3:uid="{00000000-0010-0000-0000-000006000000}" name="Ürün"/>
    <tableColumn id="7" xr3:uid="{00000000-0010-0000-0000-000007000000}" name="Adet"/>
    <tableColumn id="8" xr3:uid="{00000000-0010-0000-0000-000008000000}" name="Durum"/>
    <tableColumn id="11" xr3:uid="{067A75E1-F4B1-4B4D-BE99-49A5FDBD9DA5}" name="saat"/>
    <tableColumn id="12" xr3:uid="{1F4D9DA8-B3B9-4D69-8F81-32785851A5CD}" name="Tarih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BBAE5-6939-4C4C-A7E7-D1E0292518E7}">
  <sheetPr codeName="Sayfa2"/>
  <dimension ref="A2:R24"/>
  <sheetViews>
    <sheetView workbookViewId="0">
      <selection activeCell="N18" sqref="N18"/>
    </sheetView>
  </sheetViews>
  <sheetFormatPr defaultRowHeight="14.4" x14ac:dyDescent="0.3"/>
  <cols>
    <col min="1" max="1" width="14.77734375" bestFit="1" customWidth="1"/>
    <col min="2" max="2" width="13.88671875" bestFit="1" customWidth="1"/>
    <col min="5" max="5" width="14.77734375" bestFit="1" customWidth="1"/>
    <col min="6" max="6" width="13.88671875" bestFit="1" customWidth="1"/>
    <col min="7" max="7" width="7.44140625" bestFit="1" customWidth="1"/>
    <col min="8" max="8" width="4.77734375" bestFit="1" customWidth="1"/>
    <col min="9" max="9" width="5.6640625" bestFit="1" customWidth="1"/>
    <col min="10" max="10" width="5.5546875" bestFit="1" customWidth="1"/>
    <col min="11" max="11" width="14.77734375" bestFit="1" customWidth="1"/>
    <col min="12" max="12" width="16.109375" bestFit="1" customWidth="1"/>
    <col min="13" max="13" width="12" bestFit="1" customWidth="1"/>
    <col min="14" max="14" width="11.109375" bestFit="1" customWidth="1"/>
    <col min="15" max="15" width="11.44140625" bestFit="1" customWidth="1"/>
    <col min="16" max="16" width="9.44140625" bestFit="1" customWidth="1"/>
    <col min="17" max="17" width="12.5546875" bestFit="1" customWidth="1"/>
    <col min="18" max="18" width="16.109375" bestFit="1" customWidth="1"/>
    <col min="19" max="19" width="12" bestFit="1" customWidth="1"/>
    <col min="20" max="20" width="11.109375" bestFit="1" customWidth="1"/>
    <col min="21" max="21" width="11.44140625" bestFit="1" customWidth="1"/>
    <col min="22" max="22" width="9.44140625" bestFit="1" customWidth="1"/>
    <col min="23" max="23" width="12.5546875" bestFit="1" customWidth="1"/>
    <col min="24" max="24" width="6.33203125" bestFit="1" customWidth="1"/>
    <col min="25" max="25" width="7.77734375" bestFit="1" customWidth="1"/>
    <col min="26" max="26" width="5.109375" bestFit="1" customWidth="1"/>
    <col min="27" max="27" width="12.5546875" bestFit="1" customWidth="1"/>
    <col min="28" max="29" width="4" bestFit="1" customWidth="1"/>
    <col min="30" max="30" width="12.5546875" bestFit="1" customWidth="1"/>
    <col min="31" max="323" width="16.109375" bestFit="1" customWidth="1"/>
    <col min="324" max="324" width="12.5546875" bestFit="1" customWidth="1"/>
  </cols>
  <sheetData>
    <row r="2" spans="1:18" x14ac:dyDescent="0.3">
      <c r="A2" t="str" cm="1">
        <f t="array" ref="A2:A10">_xlfn.UNIQUE(Tablo1[Şehir])</f>
        <v>Bursa</v>
      </c>
      <c r="B2">
        <f>GETPIVOTDATA("İşlem Kodu",$A$14,"Şehir","Bursa")</f>
        <v>111</v>
      </c>
    </row>
    <row r="3" spans="1:18" x14ac:dyDescent="0.3">
      <c r="A3" t="str">
        <v>İzmir</v>
      </c>
      <c r="B3">
        <f>GETPIVOTDATA("İşlem Kodu",$A$14,"Şehir","İzmir")</f>
        <v>105</v>
      </c>
      <c r="E3" s="1" t="s">
        <v>1894</v>
      </c>
      <c r="F3" t="s">
        <v>1895</v>
      </c>
      <c r="Q3" s="1" t="s">
        <v>1894</v>
      </c>
      <c r="R3" t="s">
        <v>1895</v>
      </c>
    </row>
    <row r="4" spans="1:18" x14ac:dyDescent="0.3">
      <c r="A4" t="str">
        <v>Uşak</v>
      </c>
      <c r="B4">
        <f>GETPIVOTDATA("İşlem Kodu",$A$14,"Şehir","Uşak")</f>
        <v>107</v>
      </c>
      <c r="E4" s="2" t="s">
        <v>17</v>
      </c>
      <c r="F4" s="3">
        <v>68</v>
      </c>
      <c r="Q4" s="2" t="s">
        <v>189</v>
      </c>
      <c r="R4" s="3">
        <v>15</v>
      </c>
    </row>
    <row r="5" spans="1:18" x14ac:dyDescent="0.3">
      <c r="A5" t="str">
        <v>Trabzon</v>
      </c>
      <c r="B5">
        <f>GETPIVOTDATA("İşlem Kodu",$A$14,"Şehir","Trabzon")</f>
        <v>112</v>
      </c>
      <c r="E5" s="2" t="s">
        <v>36</v>
      </c>
      <c r="F5" s="3">
        <v>65</v>
      </c>
      <c r="Q5" s="2" t="s">
        <v>12</v>
      </c>
      <c r="R5" s="3">
        <v>191</v>
      </c>
    </row>
    <row r="6" spans="1:18" x14ac:dyDescent="0.3">
      <c r="A6" t="str">
        <v>Konya</v>
      </c>
      <c r="B6">
        <f>GETPIVOTDATA("İşlem Kodu",$A$14,"Şehir","Trabzon")</f>
        <v>112</v>
      </c>
      <c r="E6" s="2" t="s">
        <v>84</v>
      </c>
      <c r="F6" s="3">
        <v>63</v>
      </c>
      <c r="Q6" s="2" t="s">
        <v>343</v>
      </c>
      <c r="R6" s="3">
        <v>12</v>
      </c>
    </row>
    <row r="7" spans="1:18" x14ac:dyDescent="0.3">
      <c r="A7" t="str">
        <v>istnbl</v>
      </c>
      <c r="B7">
        <f>GETPIVOTDATA("İşlem Kodu",$A$14,"Şehir","istnbl")</f>
        <v>85</v>
      </c>
      <c r="E7" s="2" t="s">
        <v>105</v>
      </c>
      <c r="F7" s="3">
        <v>66</v>
      </c>
      <c r="Q7" s="2" t="s">
        <v>18</v>
      </c>
      <c r="R7" s="3">
        <v>212</v>
      </c>
    </row>
    <row r="8" spans="1:18" x14ac:dyDescent="0.3">
      <c r="A8" t="str">
        <v>Ankara</v>
      </c>
      <c r="B8">
        <f>GETPIVOTDATA("İşlem Kodu",$A$14,"Şehir","Ankara")</f>
        <v>95</v>
      </c>
      <c r="E8" s="2" t="s">
        <v>64</v>
      </c>
      <c r="F8" s="3">
        <v>61</v>
      </c>
      <c r="Q8" s="2" t="s">
        <v>47</v>
      </c>
      <c r="R8" s="3">
        <v>483</v>
      </c>
    </row>
    <row r="9" spans="1:18" x14ac:dyDescent="0.3">
      <c r="A9" t="str">
        <v>Antalya</v>
      </c>
      <c r="B9">
        <f>GETPIVOTDATA("İşlem Kodu",$A$14,"Şehir","Antalya")</f>
        <v>83</v>
      </c>
      <c r="E9" s="2" t="s">
        <v>23</v>
      </c>
      <c r="F9" s="3">
        <v>66</v>
      </c>
      <c r="Q9" s="2" t="s">
        <v>1896</v>
      </c>
      <c r="R9" s="3">
        <v>913</v>
      </c>
    </row>
    <row r="10" spans="1:18" x14ac:dyDescent="0.3">
      <c r="A10" t="str">
        <v>Bolu</v>
      </c>
      <c r="B10">
        <f>GETPIVOTDATA("İşlem Kodu",$A$14,"Şehir","Bolu")</f>
        <v>106</v>
      </c>
      <c r="E10" s="2" t="s">
        <v>91</v>
      </c>
      <c r="F10" s="3">
        <v>66</v>
      </c>
    </row>
    <row r="11" spans="1:18" x14ac:dyDescent="0.3">
      <c r="E11" s="2" t="s">
        <v>69</v>
      </c>
      <c r="F11" s="3">
        <v>78</v>
      </c>
    </row>
    <row r="12" spans="1:18" x14ac:dyDescent="0.3">
      <c r="E12" s="2" t="s">
        <v>80</v>
      </c>
      <c r="F12" s="3">
        <v>57</v>
      </c>
    </row>
    <row r="13" spans="1:18" x14ac:dyDescent="0.3">
      <c r="E13" s="2" t="s">
        <v>40</v>
      </c>
      <c r="F13" s="3">
        <v>74</v>
      </c>
      <c r="K13" s="1" t="s">
        <v>1895</v>
      </c>
      <c r="L13" s="1" t="s">
        <v>1897</v>
      </c>
    </row>
    <row r="14" spans="1:18" x14ac:dyDescent="0.3">
      <c r="A14" s="1" t="s">
        <v>1894</v>
      </c>
      <c r="B14" t="s">
        <v>1895</v>
      </c>
      <c r="E14" s="2" t="s">
        <v>130</v>
      </c>
      <c r="F14" s="3">
        <v>56</v>
      </c>
      <c r="K14" s="1" t="s">
        <v>1894</v>
      </c>
      <c r="L14" t="s">
        <v>189</v>
      </c>
      <c r="M14" t="s">
        <v>12</v>
      </c>
      <c r="N14" t="s">
        <v>343</v>
      </c>
      <c r="O14" t="s">
        <v>18</v>
      </c>
      <c r="P14" t="s">
        <v>47</v>
      </c>
      <c r="Q14" t="s">
        <v>1896</v>
      </c>
    </row>
    <row r="15" spans="1:18" x14ac:dyDescent="0.3">
      <c r="A15" s="2" t="s">
        <v>31</v>
      </c>
      <c r="B15" s="3">
        <v>112</v>
      </c>
      <c r="E15" s="2" t="s">
        <v>32</v>
      </c>
      <c r="F15" s="3">
        <v>79</v>
      </c>
      <c r="K15" s="2">
        <v>3</v>
      </c>
      <c r="L15" s="3">
        <v>1</v>
      </c>
      <c r="M15" s="3">
        <v>21</v>
      </c>
      <c r="N15" s="3">
        <v>1</v>
      </c>
      <c r="O15" s="3">
        <v>29</v>
      </c>
      <c r="P15" s="3">
        <v>53</v>
      </c>
      <c r="Q15" s="3">
        <v>105</v>
      </c>
    </row>
    <row r="16" spans="1:18" x14ac:dyDescent="0.3">
      <c r="A16" s="2" t="s">
        <v>10</v>
      </c>
      <c r="B16" s="3">
        <v>111</v>
      </c>
      <c r="E16" s="2" t="s">
        <v>27</v>
      </c>
      <c r="F16" s="3">
        <v>47</v>
      </c>
      <c r="K16" s="2">
        <v>4</v>
      </c>
      <c r="L16" s="3">
        <v>2</v>
      </c>
      <c r="M16" s="3">
        <v>14</v>
      </c>
      <c r="N16" s="3">
        <v>1</v>
      </c>
      <c r="O16" s="3">
        <v>20</v>
      </c>
      <c r="P16" s="3">
        <v>52</v>
      </c>
      <c r="Q16" s="3">
        <v>89</v>
      </c>
    </row>
    <row r="17" spans="1:17" x14ac:dyDescent="0.3">
      <c r="A17" s="2" t="s">
        <v>51</v>
      </c>
      <c r="B17" s="3">
        <v>109</v>
      </c>
      <c r="E17" s="2" t="s">
        <v>11</v>
      </c>
      <c r="F17" s="3">
        <v>67</v>
      </c>
      <c r="K17" s="2">
        <v>5</v>
      </c>
      <c r="L17" s="3">
        <v>2</v>
      </c>
      <c r="M17" s="3">
        <v>31</v>
      </c>
      <c r="N17" s="3">
        <v>3</v>
      </c>
      <c r="O17" s="3">
        <v>31</v>
      </c>
      <c r="P17" s="3">
        <v>61</v>
      </c>
      <c r="Q17" s="3">
        <v>128</v>
      </c>
    </row>
    <row r="18" spans="1:17" x14ac:dyDescent="0.3">
      <c r="A18" s="2" t="s">
        <v>22</v>
      </c>
      <c r="B18" s="3">
        <v>107</v>
      </c>
      <c r="E18" s="2" t="s">
        <v>1896</v>
      </c>
      <c r="F18" s="3">
        <v>913</v>
      </c>
      <c r="K18" s="2">
        <v>6</v>
      </c>
      <c r="L18" s="3">
        <v>2</v>
      </c>
      <c r="M18" s="3">
        <v>22</v>
      </c>
      <c r="N18" s="3">
        <v>4</v>
      </c>
      <c r="O18" s="3">
        <v>28</v>
      </c>
      <c r="P18" s="3">
        <v>66</v>
      </c>
      <c r="Q18" s="3">
        <v>122</v>
      </c>
    </row>
    <row r="19" spans="1:17" x14ac:dyDescent="0.3">
      <c r="A19" s="2" t="s">
        <v>79</v>
      </c>
      <c r="B19" s="3">
        <v>106</v>
      </c>
      <c r="K19" s="2">
        <v>7</v>
      </c>
      <c r="L19" s="3">
        <v>3</v>
      </c>
      <c r="M19" s="3">
        <v>21</v>
      </c>
      <c r="N19" s="3"/>
      <c r="O19" s="3">
        <v>36</v>
      </c>
      <c r="P19" s="3">
        <v>64</v>
      </c>
      <c r="Q19" s="3">
        <v>124</v>
      </c>
    </row>
    <row r="20" spans="1:17" x14ac:dyDescent="0.3">
      <c r="A20" s="2" t="s">
        <v>16</v>
      </c>
      <c r="B20" s="3">
        <v>105</v>
      </c>
      <c r="K20" s="2">
        <v>8</v>
      </c>
      <c r="L20" s="3"/>
      <c r="M20" s="3">
        <v>28</v>
      </c>
      <c r="N20" s="3"/>
      <c r="O20" s="3">
        <v>23</v>
      </c>
      <c r="P20" s="3">
        <v>57</v>
      </c>
      <c r="Q20" s="3">
        <v>108</v>
      </c>
    </row>
    <row r="21" spans="1:17" x14ac:dyDescent="0.3">
      <c r="A21" s="2" t="s">
        <v>68</v>
      </c>
      <c r="B21" s="3">
        <v>95</v>
      </c>
      <c r="K21" s="2">
        <v>9</v>
      </c>
      <c r="L21" s="3">
        <v>4</v>
      </c>
      <c r="M21" s="3">
        <v>35</v>
      </c>
      <c r="N21" s="3">
        <v>1</v>
      </c>
      <c r="O21" s="3">
        <v>21</v>
      </c>
      <c r="P21" s="3">
        <v>62</v>
      </c>
      <c r="Q21" s="3">
        <v>123</v>
      </c>
    </row>
    <row r="22" spans="1:17" x14ac:dyDescent="0.3">
      <c r="A22" s="2" t="s">
        <v>63</v>
      </c>
      <c r="B22" s="3">
        <v>85</v>
      </c>
      <c r="K22" s="2">
        <v>10</v>
      </c>
      <c r="L22" s="3">
        <v>1</v>
      </c>
      <c r="M22" s="3">
        <v>19</v>
      </c>
      <c r="N22" s="3">
        <v>2</v>
      </c>
      <c r="O22" s="3">
        <v>24</v>
      </c>
      <c r="P22" s="3">
        <v>68</v>
      </c>
      <c r="Q22" s="3">
        <v>114</v>
      </c>
    </row>
    <row r="23" spans="1:17" x14ac:dyDescent="0.3">
      <c r="A23" s="2" t="s">
        <v>76</v>
      </c>
      <c r="B23" s="3">
        <v>83</v>
      </c>
      <c r="K23" s="2" t="s">
        <v>1896</v>
      </c>
      <c r="L23" s="3">
        <v>15</v>
      </c>
      <c r="M23" s="3">
        <v>191</v>
      </c>
      <c r="N23" s="3">
        <v>12</v>
      </c>
      <c r="O23" s="3">
        <v>212</v>
      </c>
      <c r="P23" s="3">
        <v>483</v>
      </c>
      <c r="Q23" s="3">
        <v>913</v>
      </c>
    </row>
    <row r="24" spans="1:17" x14ac:dyDescent="0.3">
      <c r="A24" s="2" t="s">
        <v>1896</v>
      </c>
      <c r="B24" s="3">
        <v>913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D1E99-C6AD-4969-BBF5-1648FED324CC}">
  <sheetPr codeName="Sayfa1"/>
  <dimension ref="A1:W30"/>
  <sheetViews>
    <sheetView showGridLines="0" tabSelected="1" workbookViewId="0">
      <selection activeCell="F15" sqref="F15"/>
    </sheetView>
  </sheetViews>
  <sheetFormatPr defaultRowHeight="14.4" x14ac:dyDescent="0.3"/>
  <cols>
    <col min="1" max="16384" width="8.88671875" style="10"/>
  </cols>
  <sheetData>
    <row r="1" spans="1:23" x14ac:dyDescent="0.3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8"/>
      <c r="V1" s="8"/>
      <c r="W1" s="9"/>
    </row>
    <row r="2" spans="1:23" x14ac:dyDescent="0.3">
      <c r="A2" s="11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12"/>
    </row>
    <row r="3" spans="1:23" x14ac:dyDescent="0.3">
      <c r="A3" s="11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12"/>
    </row>
    <row r="4" spans="1:23" x14ac:dyDescent="0.3">
      <c r="A4" s="11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12"/>
    </row>
    <row r="5" spans="1:23" x14ac:dyDescent="0.3">
      <c r="A5" s="11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12"/>
    </row>
    <row r="6" spans="1:23" x14ac:dyDescent="0.3">
      <c r="A6" s="11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12"/>
    </row>
    <row r="7" spans="1:23" x14ac:dyDescent="0.3">
      <c r="A7" s="11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12"/>
    </row>
    <row r="8" spans="1:23" x14ac:dyDescent="0.3">
      <c r="A8" s="11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12"/>
    </row>
    <row r="9" spans="1:23" x14ac:dyDescent="0.3">
      <c r="A9" s="11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12"/>
    </row>
    <row r="10" spans="1:23" x14ac:dyDescent="0.3">
      <c r="A10" s="11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12"/>
    </row>
    <row r="11" spans="1:23" x14ac:dyDescent="0.3">
      <c r="A11" s="11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12"/>
    </row>
    <row r="12" spans="1:23" x14ac:dyDescent="0.3">
      <c r="A12" s="11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12"/>
    </row>
    <row r="13" spans="1:23" x14ac:dyDescent="0.3">
      <c r="A13" s="11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12"/>
    </row>
    <row r="14" spans="1:23" x14ac:dyDescent="0.3">
      <c r="A14" s="11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12"/>
    </row>
    <row r="15" spans="1:23" x14ac:dyDescent="0.3">
      <c r="A15" s="11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12"/>
    </row>
    <row r="16" spans="1:23" x14ac:dyDescent="0.3">
      <c r="A16" s="11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12"/>
    </row>
    <row r="17" spans="1:23" x14ac:dyDescent="0.3">
      <c r="A17" s="11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12"/>
    </row>
    <row r="18" spans="1:23" x14ac:dyDescent="0.3">
      <c r="A18" s="11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12"/>
    </row>
    <row r="19" spans="1:23" x14ac:dyDescent="0.3">
      <c r="A19" s="11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12"/>
    </row>
    <row r="20" spans="1:23" x14ac:dyDescent="0.3">
      <c r="A20" s="11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12"/>
    </row>
    <row r="21" spans="1:23" x14ac:dyDescent="0.3">
      <c r="A21" s="11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12"/>
    </row>
    <row r="22" spans="1:23" x14ac:dyDescent="0.3">
      <c r="A22" s="11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12"/>
    </row>
    <row r="23" spans="1:23" x14ac:dyDescent="0.3">
      <c r="A23" s="11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12"/>
    </row>
    <row r="24" spans="1:23" x14ac:dyDescent="0.3">
      <c r="A24" s="11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12"/>
    </row>
    <row r="25" spans="1:23" x14ac:dyDescent="0.3">
      <c r="A25" s="11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12"/>
    </row>
    <row r="26" spans="1:23" x14ac:dyDescent="0.3">
      <c r="A26" s="11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12"/>
    </row>
    <row r="27" spans="1:23" x14ac:dyDescent="0.3">
      <c r="A27" s="11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12"/>
    </row>
    <row r="28" spans="1:23" x14ac:dyDescent="0.3">
      <c r="A28" s="13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5"/>
    </row>
    <row r="29" spans="1:23" x14ac:dyDescent="0.3">
      <c r="T29" s="8"/>
      <c r="U29" s="8"/>
      <c r="V29" s="8"/>
    </row>
    <row r="30" spans="1:23" x14ac:dyDescent="0.3">
      <c r="T30" s="8"/>
      <c r="U30" s="8"/>
      <c r="V30" s="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3"/>
  <dimension ref="A1:I914"/>
  <sheetViews>
    <sheetView topLeftCell="A2" workbookViewId="0">
      <selection activeCell="D7" sqref="D7"/>
    </sheetView>
  </sheetViews>
  <sheetFormatPr defaultRowHeight="14.4" x14ac:dyDescent="0.3"/>
  <cols>
    <col min="1" max="1" width="11.77734375" customWidth="1"/>
    <col min="2" max="2" width="10.77734375" bestFit="1" customWidth="1"/>
    <col min="3" max="3" width="20.5546875" bestFit="1" customWidth="1"/>
    <col min="4" max="4" width="7.5546875" bestFit="1" customWidth="1"/>
    <col min="5" max="5" width="12.109375" bestFit="1" customWidth="1"/>
    <col min="6" max="6" width="6.6640625" customWidth="1"/>
    <col min="7" max="7" width="11.5546875" bestFit="1" customWidth="1"/>
    <col min="9" max="9" width="10.10937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1898</v>
      </c>
      <c r="I1" t="s">
        <v>1899</v>
      </c>
    </row>
    <row r="2" spans="1:9" x14ac:dyDescent="0.3">
      <c r="A2" t="s">
        <v>7</v>
      </c>
      <c r="B2" t="s">
        <v>8</v>
      </c>
      <c r="C2" t="s">
        <v>9</v>
      </c>
      <c r="D2" t="s">
        <v>10</v>
      </c>
      <c r="E2" t="s">
        <v>11</v>
      </c>
      <c r="F2">
        <v>8</v>
      </c>
      <c r="G2" t="s">
        <v>12</v>
      </c>
      <c r="H2" s="4">
        <v>0.92083333333333339</v>
      </c>
      <c r="I2" s="5">
        <v>43959</v>
      </c>
    </row>
    <row r="3" spans="1:9" x14ac:dyDescent="0.3">
      <c r="A3" t="s">
        <v>13</v>
      </c>
      <c r="B3" t="s">
        <v>14</v>
      </c>
      <c r="C3" t="s">
        <v>15</v>
      </c>
      <c r="D3" t="s">
        <v>16</v>
      </c>
      <c r="E3" t="s">
        <v>17</v>
      </c>
      <c r="F3">
        <v>5</v>
      </c>
      <c r="G3" t="s">
        <v>18</v>
      </c>
      <c r="H3" s="4">
        <v>0.83958333333333324</v>
      </c>
      <c r="I3" s="5">
        <v>43978</v>
      </c>
    </row>
    <row r="4" spans="1:9" x14ac:dyDescent="0.3">
      <c r="A4" t="s">
        <v>19</v>
      </c>
      <c r="B4" t="s">
        <v>20</v>
      </c>
      <c r="C4" t="s">
        <v>21</v>
      </c>
      <c r="D4" t="s">
        <v>22</v>
      </c>
      <c r="E4" t="s">
        <v>23</v>
      </c>
      <c r="F4">
        <v>3</v>
      </c>
      <c r="G4" t="s">
        <v>12</v>
      </c>
      <c r="H4" s="4">
        <v>0.91736111111111107</v>
      </c>
      <c r="I4" s="5">
        <v>44106</v>
      </c>
    </row>
    <row r="5" spans="1:9" x14ac:dyDescent="0.3">
      <c r="A5" t="s">
        <v>24</v>
      </c>
      <c r="B5" t="s">
        <v>25</v>
      </c>
      <c r="C5" t="s">
        <v>26</v>
      </c>
      <c r="D5" t="s">
        <v>16</v>
      </c>
      <c r="E5" t="s">
        <v>27</v>
      </c>
      <c r="F5">
        <v>8</v>
      </c>
      <c r="G5" t="s">
        <v>12</v>
      </c>
      <c r="H5" s="4">
        <v>0.43611111111111112</v>
      </c>
      <c r="I5" s="5">
        <v>44107</v>
      </c>
    </row>
    <row r="6" spans="1:9" x14ac:dyDescent="0.3">
      <c r="A6" t="s">
        <v>28</v>
      </c>
      <c r="B6" t="s">
        <v>29</v>
      </c>
      <c r="C6" t="s">
        <v>30</v>
      </c>
      <c r="D6" t="s">
        <v>31</v>
      </c>
      <c r="E6" t="s">
        <v>32</v>
      </c>
      <c r="F6">
        <v>7</v>
      </c>
      <c r="G6" t="s">
        <v>12</v>
      </c>
      <c r="H6" s="4">
        <v>0.68541666666666667</v>
      </c>
      <c r="I6" s="5">
        <v>44077</v>
      </c>
    </row>
    <row r="7" spans="1:9" x14ac:dyDescent="0.3">
      <c r="A7" t="s">
        <v>33</v>
      </c>
      <c r="B7" t="s">
        <v>34</v>
      </c>
      <c r="C7" t="s">
        <v>35</v>
      </c>
      <c r="D7" t="s">
        <v>22</v>
      </c>
      <c r="E7" t="s">
        <v>36</v>
      </c>
      <c r="F7">
        <v>10</v>
      </c>
      <c r="G7" t="s">
        <v>18</v>
      </c>
      <c r="H7" s="4">
        <v>0.80833333333333324</v>
      </c>
      <c r="I7" s="5">
        <v>44151</v>
      </c>
    </row>
    <row r="8" spans="1:9" x14ac:dyDescent="0.3">
      <c r="A8" t="s">
        <v>37</v>
      </c>
      <c r="B8" t="s">
        <v>38</v>
      </c>
      <c r="C8" t="s">
        <v>39</v>
      </c>
      <c r="D8" t="s">
        <v>16</v>
      </c>
      <c r="E8" t="s">
        <v>40</v>
      </c>
      <c r="F8">
        <v>6</v>
      </c>
      <c r="G8" t="s">
        <v>12</v>
      </c>
      <c r="H8" s="4">
        <v>0.92152777777777783</v>
      </c>
      <c r="I8" s="5">
        <v>44176</v>
      </c>
    </row>
    <row r="9" spans="1:9" x14ac:dyDescent="0.3">
      <c r="A9" t="s">
        <v>41</v>
      </c>
      <c r="B9" t="s">
        <v>42</v>
      </c>
      <c r="C9" t="s">
        <v>43</v>
      </c>
      <c r="D9" t="s">
        <v>22</v>
      </c>
      <c r="E9" t="s">
        <v>32</v>
      </c>
      <c r="F9">
        <v>9</v>
      </c>
      <c r="G9" t="s">
        <v>18</v>
      </c>
      <c r="H9" s="4">
        <v>0.95486111111111116</v>
      </c>
      <c r="I9" s="5">
        <v>44167</v>
      </c>
    </row>
    <row r="10" spans="1:9" x14ac:dyDescent="0.3">
      <c r="A10" t="s">
        <v>44</v>
      </c>
      <c r="B10" t="s">
        <v>45</v>
      </c>
      <c r="C10" t="s">
        <v>46</v>
      </c>
      <c r="D10" t="s">
        <v>10</v>
      </c>
      <c r="E10" t="s">
        <v>27</v>
      </c>
      <c r="F10">
        <v>6</v>
      </c>
      <c r="G10" t="s">
        <v>47</v>
      </c>
      <c r="H10" s="4">
        <v>0.7368055555555556</v>
      </c>
      <c r="I10" s="5">
        <v>44086</v>
      </c>
    </row>
    <row r="11" spans="1:9" x14ac:dyDescent="0.3">
      <c r="A11" t="s">
        <v>48</v>
      </c>
      <c r="B11" t="s">
        <v>49</v>
      </c>
      <c r="C11" t="s">
        <v>50</v>
      </c>
      <c r="D11" t="s">
        <v>51</v>
      </c>
      <c r="E11" t="s">
        <v>40</v>
      </c>
      <c r="F11">
        <v>10</v>
      </c>
      <c r="G11" t="s">
        <v>12</v>
      </c>
      <c r="H11" s="4">
        <v>0.47222222222222227</v>
      </c>
      <c r="I11" s="5">
        <v>44114</v>
      </c>
    </row>
    <row r="12" spans="1:9" x14ac:dyDescent="0.3">
      <c r="A12" t="s">
        <v>52</v>
      </c>
      <c r="B12" t="s">
        <v>53</v>
      </c>
      <c r="C12" t="s">
        <v>54</v>
      </c>
      <c r="D12" t="s">
        <v>16</v>
      </c>
      <c r="E12" t="s">
        <v>36</v>
      </c>
      <c r="F12">
        <v>8</v>
      </c>
      <c r="G12" t="s">
        <v>47</v>
      </c>
      <c r="H12" s="4">
        <v>0.91736111111111107</v>
      </c>
      <c r="I12" s="5">
        <v>44001</v>
      </c>
    </row>
    <row r="13" spans="1:9" x14ac:dyDescent="0.3">
      <c r="A13" t="s">
        <v>55</v>
      </c>
      <c r="B13" t="s">
        <v>56</v>
      </c>
      <c r="C13" t="s">
        <v>57</v>
      </c>
      <c r="D13" t="s">
        <v>16</v>
      </c>
      <c r="E13" t="s">
        <v>23</v>
      </c>
      <c r="F13">
        <v>10</v>
      </c>
      <c r="G13" t="s">
        <v>47</v>
      </c>
      <c r="H13" s="4">
        <v>0.43611111111111112</v>
      </c>
      <c r="I13" s="5">
        <v>44100</v>
      </c>
    </row>
    <row r="14" spans="1:9" x14ac:dyDescent="0.3">
      <c r="A14" t="s">
        <v>58</v>
      </c>
      <c r="B14" t="s">
        <v>49</v>
      </c>
      <c r="C14" t="s">
        <v>59</v>
      </c>
      <c r="D14" t="s">
        <v>31</v>
      </c>
      <c r="E14" t="s">
        <v>17</v>
      </c>
      <c r="F14">
        <v>9</v>
      </c>
      <c r="G14" t="s">
        <v>47</v>
      </c>
      <c r="H14" s="4">
        <v>0.68541666666666667</v>
      </c>
      <c r="I14" s="5">
        <v>43937</v>
      </c>
    </row>
    <row r="15" spans="1:9" x14ac:dyDescent="0.3">
      <c r="A15" t="s">
        <v>60</v>
      </c>
      <c r="B15" t="s">
        <v>61</v>
      </c>
      <c r="C15" t="s">
        <v>62</v>
      </c>
      <c r="D15" t="s">
        <v>63</v>
      </c>
      <c r="E15" t="s">
        <v>64</v>
      </c>
      <c r="F15">
        <v>5</v>
      </c>
      <c r="G15" t="s">
        <v>47</v>
      </c>
      <c r="H15" s="4">
        <v>0.80833333333333324</v>
      </c>
      <c r="I15" s="5">
        <v>43884</v>
      </c>
    </row>
    <row r="16" spans="1:9" x14ac:dyDescent="0.3">
      <c r="A16" t="s">
        <v>65</v>
      </c>
      <c r="B16" t="s">
        <v>66</v>
      </c>
      <c r="C16" t="s">
        <v>67</v>
      </c>
      <c r="D16" t="s">
        <v>68</v>
      </c>
      <c r="E16" t="s">
        <v>69</v>
      </c>
      <c r="F16">
        <v>3</v>
      </c>
      <c r="G16" t="s">
        <v>47</v>
      </c>
      <c r="H16" s="4">
        <v>0.92152777777777783</v>
      </c>
      <c r="I16" s="5">
        <v>44094</v>
      </c>
    </row>
    <row r="17" spans="1:9" x14ac:dyDescent="0.3">
      <c r="A17" t="s">
        <v>70</v>
      </c>
      <c r="B17" t="s">
        <v>71</v>
      </c>
      <c r="C17" t="s">
        <v>72</v>
      </c>
      <c r="D17" t="s">
        <v>10</v>
      </c>
      <c r="E17" t="s">
        <v>17</v>
      </c>
      <c r="F17">
        <v>4</v>
      </c>
      <c r="G17" t="s">
        <v>47</v>
      </c>
      <c r="H17" s="4">
        <v>0.95486111111111116</v>
      </c>
      <c r="I17" s="5">
        <v>43985</v>
      </c>
    </row>
    <row r="18" spans="1:9" x14ac:dyDescent="0.3">
      <c r="A18" t="s">
        <v>73</v>
      </c>
      <c r="B18" t="s">
        <v>74</v>
      </c>
      <c r="C18" t="s">
        <v>75</v>
      </c>
      <c r="D18" t="s">
        <v>76</v>
      </c>
      <c r="E18" t="s">
        <v>32</v>
      </c>
      <c r="F18">
        <v>10</v>
      </c>
      <c r="G18" t="s">
        <v>47</v>
      </c>
      <c r="H18" s="4">
        <v>0.7368055555555556</v>
      </c>
      <c r="I18" s="5">
        <v>43949</v>
      </c>
    </row>
    <row r="19" spans="1:9" x14ac:dyDescent="0.3">
      <c r="A19" t="s">
        <v>77</v>
      </c>
      <c r="B19" t="s">
        <v>14</v>
      </c>
      <c r="C19" t="s">
        <v>78</v>
      </c>
      <c r="D19" t="s">
        <v>79</v>
      </c>
      <c r="E19" t="s">
        <v>80</v>
      </c>
      <c r="F19">
        <v>4</v>
      </c>
      <c r="G19" t="s">
        <v>47</v>
      </c>
      <c r="H19" s="4">
        <v>0.47222222222222227</v>
      </c>
      <c r="I19" s="5">
        <v>44119</v>
      </c>
    </row>
    <row r="20" spans="1:9" x14ac:dyDescent="0.3">
      <c r="A20" t="s">
        <v>81</v>
      </c>
      <c r="B20" t="s">
        <v>82</v>
      </c>
      <c r="C20" t="s">
        <v>83</v>
      </c>
      <c r="D20" t="s">
        <v>76</v>
      </c>
      <c r="E20" t="s">
        <v>84</v>
      </c>
      <c r="F20">
        <v>6</v>
      </c>
      <c r="G20" t="s">
        <v>12</v>
      </c>
      <c r="H20" s="4">
        <v>0.91736111111111107</v>
      </c>
      <c r="I20" s="5">
        <v>43892</v>
      </c>
    </row>
    <row r="21" spans="1:9" x14ac:dyDescent="0.3">
      <c r="A21" t="s">
        <v>85</v>
      </c>
      <c r="B21" t="s">
        <v>86</v>
      </c>
      <c r="C21" t="s">
        <v>87</v>
      </c>
      <c r="D21" t="s">
        <v>31</v>
      </c>
      <c r="E21" t="s">
        <v>69</v>
      </c>
      <c r="F21">
        <v>7</v>
      </c>
      <c r="G21" t="s">
        <v>47</v>
      </c>
      <c r="H21" s="4">
        <v>0.43611111111111112</v>
      </c>
      <c r="I21" s="5">
        <v>43883</v>
      </c>
    </row>
    <row r="22" spans="1:9" x14ac:dyDescent="0.3">
      <c r="A22" t="s">
        <v>88</v>
      </c>
      <c r="B22" t="s">
        <v>89</v>
      </c>
      <c r="C22" t="s">
        <v>90</v>
      </c>
      <c r="D22" t="s">
        <v>79</v>
      </c>
      <c r="E22" t="s">
        <v>91</v>
      </c>
      <c r="F22">
        <v>9</v>
      </c>
      <c r="G22" t="s">
        <v>47</v>
      </c>
      <c r="H22" s="4">
        <v>0.68541666666666667</v>
      </c>
      <c r="I22" s="5">
        <v>44141</v>
      </c>
    </row>
    <row r="23" spans="1:9" x14ac:dyDescent="0.3">
      <c r="A23" t="s">
        <v>92</v>
      </c>
      <c r="B23" t="s">
        <v>66</v>
      </c>
      <c r="C23" t="s">
        <v>93</v>
      </c>
      <c r="D23" t="s">
        <v>51</v>
      </c>
      <c r="E23" t="s">
        <v>17</v>
      </c>
      <c r="F23">
        <v>4</v>
      </c>
      <c r="G23" t="s">
        <v>18</v>
      </c>
      <c r="H23" s="4">
        <v>0.80833333333333324</v>
      </c>
      <c r="I23" s="5">
        <v>44102</v>
      </c>
    </row>
    <row r="24" spans="1:9" x14ac:dyDescent="0.3">
      <c r="A24" t="s">
        <v>94</v>
      </c>
      <c r="B24" t="s">
        <v>95</v>
      </c>
      <c r="C24" t="s">
        <v>96</v>
      </c>
      <c r="D24" t="s">
        <v>51</v>
      </c>
      <c r="E24" t="s">
        <v>32</v>
      </c>
      <c r="F24">
        <v>7</v>
      </c>
      <c r="G24" t="s">
        <v>47</v>
      </c>
      <c r="H24" s="4">
        <v>0.92152777777777783</v>
      </c>
      <c r="I24" s="5">
        <v>43881</v>
      </c>
    </row>
    <row r="25" spans="1:9" x14ac:dyDescent="0.3">
      <c r="A25" t="s">
        <v>97</v>
      </c>
      <c r="B25" t="s">
        <v>98</v>
      </c>
      <c r="C25" t="s">
        <v>15</v>
      </c>
      <c r="D25" t="s">
        <v>31</v>
      </c>
      <c r="E25" t="s">
        <v>69</v>
      </c>
      <c r="F25">
        <v>5</v>
      </c>
      <c r="G25" t="s">
        <v>12</v>
      </c>
      <c r="H25" s="4">
        <v>0.95486111111111116</v>
      </c>
      <c r="I25" s="5">
        <v>43998</v>
      </c>
    </row>
    <row r="26" spans="1:9" x14ac:dyDescent="0.3">
      <c r="A26" t="s">
        <v>99</v>
      </c>
      <c r="B26" t="s">
        <v>100</v>
      </c>
      <c r="C26" t="s">
        <v>101</v>
      </c>
      <c r="D26" t="s">
        <v>22</v>
      </c>
      <c r="E26" t="s">
        <v>17</v>
      </c>
      <c r="F26">
        <v>6</v>
      </c>
      <c r="G26" t="s">
        <v>47</v>
      </c>
      <c r="H26" s="4">
        <v>0.7368055555555556</v>
      </c>
      <c r="I26" s="5">
        <v>43852</v>
      </c>
    </row>
    <row r="27" spans="1:9" x14ac:dyDescent="0.3">
      <c r="A27" t="s">
        <v>102</v>
      </c>
      <c r="B27" t="s">
        <v>103</v>
      </c>
      <c r="C27" t="s">
        <v>104</v>
      </c>
      <c r="D27" t="s">
        <v>31</v>
      </c>
      <c r="E27" t="s">
        <v>105</v>
      </c>
      <c r="F27">
        <v>5</v>
      </c>
      <c r="G27" t="s">
        <v>47</v>
      </c>
      <c r="H27" s="4">
        <v>0.47222222222222227</v>
      </c>
      <c r="I27" s="5">
        <v>44147</v>
      </c>
    </row>
    <row r="28" spans="1:9" x14ac:dyDescent="0.3">
      <c r="A28" t="s">
        <v>106</v>
      </c>
      <c r="B28" t="s">
        <v>107</v>
      </c>
      <c r="C28" t="s">
        <v>108</v>
      </c>
      <c r="D28" t="s">
        <v>76</v>
      </c>
      <c r="E28" t="s">
        <v>69</v>
      </c>
      <c r="F28">
        <v>6</v>
      </c>
      <c r="G28" t="s">
        <v>47</v>
      </c>
      <c r="H28" s="4">
        <v>0.91736111111111107</v>
      </c>
      <c r="I28" s="5">
        <v>43996</v>
      </c>
    </row>
    <row r="29" spans="1:9" x14ac:dyDescent="0.3">
      <c r="A29" t="s">
        <v>109</v>
      </c>
      <c r="B29" t="s">
        <v>110</v>
      </c>
      <c r="C29" t="s">
        <v>111</v>
      </c>
      <c r="D29" t="s">
        <v>16</v>
      </c>
      <c r="E29" t="s">
        <v>40</v>
      </c>
      <c r="F29">
        <v>4</v>
      </c>
      <c r="G29" t="s">
        <v>12</v>
      </c>
      <c r="H29" s="4">
        <v>0.43611111111111112</v>
      </c>
      <c r="I29" s="5">
        <v>44001</v>
      </c>
    </row>
    <row r="30" spans="1:9" x14ac:dyDescent="0.3">
      <c r="A30" t="s">
        <v>112</v>
      </c>
      <c r="B30" t="s">
        <v>113</v>
      </c>
      <c r="C30" t="s">
        <v>114</v>
      </c>
      <c r="D30" t="s">
        <v>22</v>
      </c>
      <c r="E30" t="s">
        <v>84</v>
      </c>
      <c r="F30">
        <v>6</v>
      </c>
      <c r="G30" t="s">
        <v>47</v>
      </c>
      <c r="H30" s="4">
        <v>0.68541666666666667</v>
      </c>
      <c r="I30" s="5">
        <v>43838</v>
      </c>
    </row>
    <row r="31" spans="1:9" x14ac:dyDescent="0.3">
      <c r="A31" t="s">
        <v>115</v>
      </c>
      <c r="B31" t="s">
        <v>116</v>
      </c>
      <c r="C31" t="s">
        <v>117</v>
      </c>
      <c r="D31" t="s">
        <v>22</v>
      </c>
      <c r="E31" t="s">
        <v>105</v>
      </c>
      <c r="F31">
        <v>6</v>
      </c>
      <c r="G31" t="s">
        <v>47</v>
      </c>
      <c r="H31" s="4">
        <v>0.80833333333333324</v>
      </c>
      <c r="I31" s="5">
        <v>44079</v>
      </c>
    </row>
    <row r="32" spans="1:9" x14ac:dyDescent="0.3">
      <c r="A32" t="s">
        <v>118</v>
      </c>
      <c r="B32" t="s">
        <v>119</v>
      </c>
      <c r="C32" t="s">
        <v>120</v>
      </c>
      <c r="D32" t="s">
        <v>16</v>
      </c>
      <c r="E32" t="s">
        <v>32</v>
      </c>
      <c r="F32">
        <v>5</v>
      </c>
      <c r="G32" t="s">
        <v>12</v>
      </c>
      <c r="H32" s="4">
        <v>0.92152777777777783</v>
      </c>
      <c r="I32" s="5">
        <v>43910</v>
      </c>
    </row>
    <row r="33" spans="1:9" x14ac:dyDescent="0.3">
      <c r="A33" t="s">
        <v>121</v>
      </c>
      <c r="B33" t="s">
        <v>122</v>
      </c>
      <c r="C33" t="s">
        <v>123</v>
      </c>
      <c r="D33" t="s">
        <v>10</v>
      </c>
      <c r="E33" t="s">
        <v>32</v>
      </c>
      <c r="F33">
        <v>8</v>
      </c>
      <c r="G33" t="s">
        <v>18</v>
      </c>
      <c r="H33" s="4">
        <v>0.95486111111111116</v>
      </c>
      <c r="I33" s="5">
        <v>44186</v>
      </c>
    </row>
    <row r="34" spans="1:9" x14ac:dyDescent="0.3">
      <c r="A34" t="s">
        <v>124</v>
      </c>
      <c r="B34" t="s">
        <v>125</v>
      </c>
      <c r="C34" t="s">
        <v>126</v>
      </c>
      <c r="D34" t="s">
        <v>63</v>
      </c>
      <c r="E34" t="s">
        <v>64</v>
      </c>
      <c r="F34">
        <v>6</v>
      </c>
      <c r="G34" t="s">
        <v>18</v>
      </c>
      <c r="H34" s="4">
        <v>0.7368055555555556</v>
      </c>
      <c r="I34" s="5">
        <v>44008</v>
      </c>
    </row>
    <row r="35" spans="1:9" x14ac:dyDescent="0.3">
      <c r="A35" t="s">
        <v>127</v>
      </c>
      <c r="B35" t="s">
        <v>128</v>
      </c>
      <c r="C35" t="s">
        <v>129</v>
      </c>
      <c r="D35" t="s">
        <v>63</v>
      </c>
      <c r="E35" t="s">
        <v>130</v>
      </c>
      <c r="F35">
        <v>7</v>
      </c>
      <c r="G35" t="s">
        <v>12</v>
      </c>
      <c r="H35" s="4">
        <v>0.47222222222222227</v>
      </c>
      <c r="I35" s="5">
        <v>43873</v>
      </c>
    </row>
    <row r="36" spans="1:9" x14ac:dyDescent="0.3">
      <c r="A36" t="s">
        <v>131</v>
      </c>
      <c r="B36" t="s">
        <v>132</v>
      </c>
      <c r="C36" t="s">
        <v>133</v>
      </c>
      <c r="D36" t="s">
        <v>76</v>
      </c>
      <c r="E36" t="s">
        <v>84</v>
      </c>
      <c r="F36">
        <v>9</v>
      </c>
      <c r="G36" t="s">
        <v>47</v>
      </c>
      <c r="H36" s="4">
        <v>0.91736111111111107</v>
      </c>
      <c r="I36" s="5">
        <v>43943</v>
      </c>
    </row>
    <row r="37" spans="1:9" x14ac:dyDescent="0.3">
      <c r="A37" t="s">
        <v>134</v>
      </c>
      <c r="B37" t="s">
        <v>135</v>
      </c>
      <c r="C37" t="s">
        <v>136</v>
      </c>
      <c r="D37" t="s">
        <v>68</v>
      </c>
      <c r="E37" t="s">
        <v>84</v>
      </c>
      <c r="F37">
        <v>9</v>
      </c>
      <c r="G37" t="s">
        <v>12</v>
      </c>
      <c r="H37" s="4">
        <v>0.43611111111111112</v>
      </c>
      <c r="I37" s="5">
        <v>43935</v>
      </c>
    </row>
    <row r="38" spans="1:9" x14ac:dyDescent="0.3">
      <c r="A38" t="s">
        <v>137</v>
      </c>
      <c r="B38" t="s">
        <v>138</v>
      </c>
      <c r="C38" t="s">
        <v>139</v>
      </c>
      <c r="D38" t="s">
        <v>16</v>
      </c>
      <c r="E38" t="s">
        <v>84</v>
      </c>
      <c r="F38">
        <v>8</v>
      </c>
      <c r="G38" t="s">
        <v>12</v>
      </c>
      <c r="H38" s="4">
        <v>0.68541666666666667</v>
      </c>
      <c r="I38" s="5">
        <v>43875</v>
      </c>
    </row>
    <row r="39" spans="1:9" x14ac:dyDescent="0.3">
      <c r="A39" t="s">
        <v>140</v>
      </c>
      <c r="B39" t="s">
        <v>141</v>
      </c>
      <c r="C39" t="s">
        <v>142</v>
      </c>
      <c r="D39" t="s">
        <v>51</v>
      </c>
      <c r="E39" t="s">
        <v>11</v>
      </c>
      <c r="F39">
        <v>3</v>
      </c>
      <c r="G39" t="s">
        <v>18</v>
      </c>
      <c r="H39" s="4">
        <v>0.80833333333333324</v>
      </c>
      <c r="I39" s="5">
        <v>43883</v>
      </c>
    </row>
    <row r="40" spans="1:9" x14ac:dyDescent="0.3">
      <c r="A40" t="s">
        <v>143</v>
      </c>
      <c r="B40" t="s">
        <v>144</v>
      </c>
      <c r="C40" t="s">
        <v>145</v>
      </c>
      <c r="D40" t="s">
        <v>79</v>
      </c>
      <c r="E40" t="s">
        <v>105</v>
      </c>
      <c r="F40">
        <v>10</v>
      </c>
      <c r="G40" t="s">
        <v>47</v>
      </c>
      <c r="H40" s="4">
        <v>0.92152777777777783</v>
      </c>
      <c r="I40" s="5">
        <v>43958</v>
      </c>
    </row>
    <row r="41" spans="1:9" x14ac:dyDescent="0.3">
      <c r="A41" t="s">
        <v>146</v>
      </c>
      <c r="B41" t="s">
        <v>147</v>
      </c>
      <c r="C41" t="s">
        <v>148</v>
      </c>
      <c r="D41" t="s">
        <v>63</v>
      </c>
      <c r="E41" t="s">
        <v>64</v>
      </c>
      <c r="F41">
        <v>4</v>
      </c>
      <c r="G41" t="s">
        <v>12</v>
      </c>
      <c r="H41" s="4">
        <v>0.95486111111111116</v>
      </c>
      <c r="I41" s="5">
        <v>44147</v>
      </c>
    </row>
    <row r="42" spans="1:9" x14ac:dyDescent="0.3">
      <c r="A42" t="s">
        <v>149</v>
      </c>
      <c r="B42" t="s">
        <v>150</v>
      </c>
      <c r="C42" t="s">
        <v>151</v>
      </c>
      <c r="D42" t="s">
        <v>76</v>
      </c>
      <c r="E42" t="s">
        <v>84</v>
      </c>
      <c r="F42">
        <v>6</v>
      </c>
      <c r="G42" t="s">
        <v>47</v>
      </c>
      <c r="H42" s="4">
        <v>0.7368055555555556</v>
      </c>
      <c r="I42" s="5">
        <v>44000</v>
      </c>
    </row>
    <row r="43" spans="1:9" x14ac:dyDescent="0.3">
      <c r="A43" t="s">
        <v>152</v>
      </c>
      <c r="B43" t="s">
        <v>153</v>
      </c>
      <c r="C43" t="s">
        <v>154</v>
      </c>
      <c r="D43" t="s">
        <v>22</v>
      </c>
      <c r="E43" t="s">
        <v>17</v>
      </c>
      <c r="F43">
        <v>8</v>
      </c>
      <c r="G43" t="s">
        <v>47</v>
      </c>
      <c r="H43" s="4">
        <v>0.47222222222222227</v>
      </c>
      <c r="I43" s="5">
        <v>44066</v>
      </c>
    </row>
    <row r="44" spans="1:9" x14ac:dyDescent="0.3">
      <c r="A44" t="s">
        <v>155</v>
      </c>
      <c r="B44" t="s">
        <v>156</v>
      </c>
      <c r="C44" t="s">
        <v>157</v>
      </c>
      <c r="D44" t="s">
        <v>63</v>
      </c>
      <c r="E44" t="s">
        <v>80</v>
      </c>
      <c r="F44">
        <v>10</v>
      </c>
      <c r="G44" t="s">
        <v>47</v>
      </c>
      <c r="H44" s="4">
        <v>0.91736111111111107</v>
      </c>
      <c r="I44" s="5">
        <v>43929</v>
      </c>
    </row>
    <row r="45" spans="1:9" x14ac:dyDescent="0.3">
      <c r="A45" t="s">
        <v>158</v>
      </c>
      <c r="B45" t="s">
        <v>159</v>
      </c>
      <c r="C45" t="s">
        <v>160</v>
      </c>
      <c r="D45" t="s">
        <v>79</v>
      </c>
      <c r="E45" t="s">
        <v>11</v>
      </c>
      <c r="F45">
        <v>10</v>
      </c>
      <c r="G45" t="s">
        <v>12</v>
      </c>
      <c r="H45" s="4">
        <v>0.43611111111111112</v>
      </c>
      <c r="I45" s="5">
        <v>43842</v>
      </c>
    </row>
    <row r="46" spans="1:9" x14ac:dyDescent="0.3">
      <c r="A46" t="s">
        <v>161</v>
      </c>
      <c r="B46" t="s">
        <v>162</v>
      </c>
      <c r="C46" t="s">
        <v>163</v>
      </c>
      <c r="D46" t="s">
        <v>10</v>
      </c>
      <c r="E46" t="s">
        <v>17</v>
      </c>
      <c r="F46">
        <v>6</v>
      </c>
      <c r="G46" t="s">
        <v>18</v>
      </c>
      <c r="H46" s="4">
        <v>0.68541666666666667</v>
      </c>
      <c r="I46" s="5">
        <v>44148</v>
      </c>
    </row>
    <row r="47" spans="1:9" x14ac:dyDescent="0.3">
      <c r="A47" t="s">
        <v>164</v>
      </c>
      <c r="B47" t="s">
        <v>165</v>
      </c>
      <c r="C47" t="s">
        <v>166</v>
      </c>
      <c r="D47" t="s">
        <v>10</v>
      </c>
      <c r="E47" t="s">
        <v>69</v>
      </c>
      <c r="F47">
        <v>7</v>
      </c>
      <c r="G47" t="s">
        <v>47</v>
      </c>
      <c r="H47" s="4">
        <v>0.80833333333333324</v>
      </c>
      <c r="I47" s="5">
        <v>43843</v>
      </c>
    </row>
    <row r="48" spans="1:9" x14ac:dyDescent="0.3">
      <c r="A48" t="s">
        <v>167</v>
      </c>
      <c r="B48" t="s">
        <v>168</v>
      </c>
      <c r="C48" t="s">
        <v>169</v>
      </c>
      <c r="D48" t="s">
        <v>79</v>
      </c>
      <c r="E48" t="s">
        <v>23</v>
      </c>
      <c r="F48">
        <v>6</v>
      </c>
      <c r="G48" t="s">
        <v>12</v>
      </c>
      <c r="H48" s="4">
        <v>0.92152777777777783</v>
      </c>
      <c r="I48" s="5">
        <v>44067</v>
      </c>
    </row>
    <row r="49" spans="1:9" x14ac:dyDescent="0.3">
      <c r="A49" t="s">
        <v>170</v>
      </c>
      <c r="B49" t="s">
        <v>171</v>
      </c>
      <c r="C49" t="s">
        <v>172</v>
      </c>
      <c r="D49" t="s">
        <v>16</v>
      </c>
      <c r="E49" t="s">
        <v>23</v>
      </c>
      <c r="F49">
        <v>5</v>
      </c>
      <c r="G49" t="s">
        <v>47</v>
      </c>
      <c r="H49" s="4">
        <v>0.95486111111111116</v>
      </c>
      <c r="I49" s="5">
        <v>44052</v>
      </c>
    </row>
    <row r="50" spans="1:9" x14ac:dyDescent="0.3">
      <c r="A50" t="s">
        <v>173</v>
      </c>
      <c r="B50" t="s">
        <v>119</v>
      </c>
      <c r="C50" t="s">
        <v>174</v>
      </c>
      <c r="D50" t="s">
        <v>31</v>
      </c>
      <c r="E50" t="s">
        <v>69</v>
      </c>
      <c r="F50">
        <v>4</v>
      </c>
      <c r="G50" t="s">
        <v>47</v>
      </c>
      <c r="H50" s="4">
        <v>0.7368055555555556</v>
      </c>
      <c r="I50" s="5">
        <v>43838</v>
      </c>
    </row>
    <row r="51" spans="1:9" x14ac:dyDescent="0.3">
      <c r="A51" t="s">
        <v>175</v>
      </c>
      <c r="B51" t="s">
        <v>176</v>
      </c>
      <c r="C51" t="s">
        <v>177</v>
      </c>
      <c r="D51" t="s">
        <v>31</v>
      </c>
      <c r="E51" t="s">
        <v>11</v>
      </c>
      <c r="F51">
        <v>5</v>
      </c>
      <c r="G51" t="s">
        <v>12</v>
      </c>
      <c r="H51" s="4">
        <v>0.47222222222222227</v>
      </c>
      <c r="I51" s="5">
        <v>44070</v>
      </c>
    </row>
    <row r="52" spans="1:9" x14ac:dyDescent="0.3">
      <c r="A52" t="s">
        <v>178</v>
      </c>
      <c r="B52" t="s">
        <v>135</v>
      </c>
      <c r="C52" t="s">
        <v>179</v>
      </c>
      <c r="D52" t="s">
        <v>51</v>
      </c>
      <c r="E52" t="s">
        <v>91</v>
      </c>
      <c r="F52">
        <v>8</v>
      </c>
      <c r="G52" t="s">
        <v>47</v>
      </c>
      <c r="H52" s="4">
        <v>0.91736111111111107</v>
      </c>
      <c r="I52" s="5">
        <v>43934</v>
      </c>
    </row>
    <row r="53" spans="1:9" x14ac:dyDescent="0.3">
      <c r="A53" t="s">
        <v>180</v>
      </c>
      <c r="B53" t="s">
        <v>181</v>
      </c>
      <c r="C53" t="s">
        <v>182</v>
      </c>
      <c r="D53" t="s">
        <v>16</v>
      </c>
      <c r="E53" t="s">
        <v>64</v>
      </c>
      <c r="F53">
        <v>4</v>
      </c>
      <c r="G53" t="s">
        <v>47</v>
      </c>
      <c r="H53" s="4">
        <v>0.43611111111111112</v>
      </c>
      <c r="I53" s="5">
        <v>43973</v>
      </c>
    </row>
    <row r="54" spans="1:9" x14ac:dyDescent="0.3">
      <c r="A54" t="s">
        <v>183</v>
      </c>
      <c r="B54" t="s">
        <v>184</v>
      </c>
      <c r="C54" t="s">
        <v>185</v>
      </c>
      <c r="D54" t="s">
        <v>51</v>
      </c>
      <c r="E54" t="s">
        <v>23</v>
      </c>
      <c r="F54">
        <v>5</v>
      </c>
      <c r="G54" t="s">
        <v>12</v>
      </c>
      <c r="H54" s="4">
        <v>0.68541666666666667</v>
      </c>
      <c r="I54" s="5">
        <v>44128</v>
      </c>
    </row>
    <row r="55" spans="1:9" x14ac:dyDescent="0.3">
      <c r="A55" t="s">
        <v>186</v>
      </c>
      <c r="B55" t="s">
        <v>187</v>
      </c>
      <c r="C55" t="s">
        <v>188</v>
      </c>
      <c r="D55" t="s">
        <v>16</v>
      </c>
      <c r="E55" t="s">
        <v>36</v>
      </c>
      <c r="F55">
        <v>5</v>
      </c>
      <c r="G55" t="s">
        <v>189</v>
      </c>
      <c r="H55" s="4">
        <v>0.80833333333333324</v>
      </c>
      <c r="I55" s="5">
        <v>44149</v>
      </c>
    </row>
    <row r="56" spans="1:9" x14ac:dyDescent="0.3">
      <c r="A56" t="s">
        <v>190</v>
      </c>
      <c r="B56" t="s">
        <v>191</v>
      </c>
      <c r="C56" t="s">
        <v>192</v>
      </c>
      <c r="D56" t="s">
        <v>76</v>
      </c>
      <c r="E56" t="s">
        <v>69</v>
      </c>
      <c r="F56">
        <v>3</v>
      </c>
      <c r="G56" t="s">
        <v>12</v>
      </c>
      <c r="H56" s="4">
        <v>0.92152777777777783</v>
      </c>
      <c r="I56" s="5">
        <v>44110</v>
      </c>
    </row>
    <row r="57" spans="1:9" x14ac:dyDescent="0.3">
      <c r="A57" t="s">
        <v>193</v>
      </c>
      <c r="B57" t="s">
        <v>194</v>
      </c>
      <c r="C57" t="s">
        <v>195</v>
      </c>
      <c r="D57" t="s">
        <v>79</v>
      </c>
      <c r="E57" t="s">
        <v>23</v>
      </c>
      <c r="F57">
        <v>9</v>
      </c>
      <c r="G57" t="s">
        <v>47</v>
      </c>
      <c r="H57" s="4">
        <v>0.95486111111111116</v>
      </c>
      <c r="I57" s="5">
        <v>43911</v>
      </c>
    </row>
    <row r="58" spans="1:9" x14ac:dyDescent="0.3">
      <c r="A58" t="s">
        <v>196</v>
      </c>
      <c r="B58" t="s">
        <v>197</v>
      </c>
      <c r="C58" t="s">
        <v>87</v>
      </c>
      <c r="D58" t="s">
        <v>51</v>
      </c>
      <c r="E58" t="s">
        <v>91</v>
      </c>
      <c r="F58">
        <v>8</v>
      </c>
      <c r="G58" t="s">
        <v>18</v>
      </c>
      <c r="H58" s="4">
        <v>0.7368055555555556</v>
      </c>
      <c r="I58" s="5">
        <v>43895</v>
      </c>
    </row>
    <row r="59" spans="1:9" x14ac:dyDescent="0.3">
      <c r="A59" t="s">
        <v>198</v>
      </c>
      <c r="B59" t="s">
        <v>199</v>
      </c>
      <c r="C59" t="s">
        <v>200</v>
      </c>
      <c r="D59" t="s">
        <v>22</v>
      </c>
      <c r="E59" t="s">
        <v>80</v>
      </c>
      <c r="F59">
        <v>3</v>
      </c>
      <c r="G59" t="s">
        <v>47</v>
      </c>
      <c r="H59" s="4">
        <v>0.47222222222222227</v>
      </c>
      <c r="I59" s="5">
        <v>43961</v>
      </c>
    </row>
    <row r="60" spans="1:9" x14ac:dyDescent="0.3">
      <c r="A60" t="s">
        <v>201</v>
      </c>
      <c r="B60" t="s">
        <v>144</v>
      </c>
      <c r="C60" t="s">
        <v>202</v>
      </c>
      <c r="D60" t="s">
        <v>10</v>
      </c>
      <c r="E60" t="s">
        <v>80</v>
      </c>
      <c r="F60">
        <v>8</v>
      </c>
      <c r="G60" t="s">
        <v>12</v>
      </c>
      <c r="H60" s="4">
        <v>0.91736111111111107</v>
      </c>
      <c r="I60" s="5">
        <v>44130</v>
      </c>
    </row>
    <row r="61" spans="1:9" x14ac:dyDescent="0.3">
      <c r="A61" t="s">
        <v>203</v>
      </c>
      <c r="B61" t="s">
        <v>204</v>
      </c>
      <c r="C61" t="s">
        <v>205</v>
      </c>
      <c r="D61" t="s">
        <v>16</v>
      </c>
      <c r="E61" t="s">
        <v>11</v>
      </c>
      <c r="F61">
        <v>7</v>
      </c>
      <c r="G61" t="s">
        <v>18</v>
      </c>
      <c r="H61" s="4">
        <v>0.43611111111111112</v>
      </c>
      <c r="I61" s="5">
        <v>44082</v>
      </c>
    </row>
    <row r="62" spans="1:9" x14ac:dyDescent="0.3">
      <c r="A62" t="s">
        <v>206</v>
      </c>
      <c r="B62" t="s">
        <v>207</v>
      </c>
      <c r="C62" t="s">
        <v>208</v>
      </c>
      <c r="D62" t="s">
        <v>22</v>
      </c>
      <c r="E62" t="s">
        <v>36</v>
      </c>
      <c r="F62">
        <v>4</v>
      </c>
      <c r="G62" t="s">
        <v>12</v>
      </c>
      <c r="H62" s="4">
        <v>0.68541666666666667</v>
      </c>
      <c r="I62" s="5">
        <v>44097</v>
      </c>
    </row>
    <row r="63" spans="1:9" x14ac:dyDescent="0.3">
      <c r="A63" t="s">
        <v>209</v>
      </c>
      <c r="B63" t="s">
        <v>98</v>
      </c>
      <c r="C63" t="s">
        <v>210</v>
      </c>
      <c r="D63" t="s">
        <v>31</v>
      </c>
      <c r="E63" t="s">
        <v>69</v>
      </c>
      <c r="F63">
        <v>10</v>
      </c>
      <c r="G63" t="s">
        <v>47</v>
      </c>
      <c r="H63" s="4">
        <v>0.80833333333333324</v>
      </c>
      <c r="I63" s="5">
        <v>43913</v>
      </c>
    </row>
    <row r="64" spans="1:9" x14ac:dyDescent="0.3">
      <c r="A64" t="s">
        <v>211</v>
      </c>
      <c r="B64" t="s">
        <v>212</v>
      </c>
      <c r="C64" t="s">
        <v>213</v>
      </c>
      <c r="D64" t="s">
        <v>68</v>
      </c>
      <c r="E64" t="s">
        <v>40</v>
      </c>
      <c r="F64">
        <v>10</v>
      </c>
      <c r="G64" t="s">
        <v>47</v>
      </c>
      <c r="H64" s="4">
        <v>0.92152777777777783</v>
      </c>
      <c r="I64" s="5">
        <v>43836</v>
      </c>
    </row>
    <row r="65" spans="1:9" x14ac:dyDescent="0.3">
      <c r="A65" t="s">
        <v>214</v>
      </c>
      <c r="B65" t="s">
        <v>215</v>
      </c>
      <c r="C65" t="s">
        <v>216</v>
      </c>
      <c r="D65" t="s">
        <v>68</v>
      </c>
      <c r="E65" t="s">
        <v>36</v>
      </c>
      <c r="F65">
        <v>6</v>
      </c>
      <c r="G65" t="s">
        <v>47</v>
      </c>
      <c r="H65" s="4">
        <v>0.95486111111111116</v>
      </c>
      <c r="I65" s="5">
        <v>44159</v>
      </c>
    </row>
    <row r="66" spans="1:9" x14ac:dyDescent="0.3">
      <c r="A66" t="s">
        <v>217</v>
      </c>
      <c r="B66" t="s">
        <v>218</v>
      </c>
      <c r="C66" t="s">
        <v>219</v>
      </c>
      <c r="D66" t="s">
        <v>10</v>
      </c>
      <c r="E66" t="s">
        <v>80</v>
      </c>
      <c r="F66">
        <v>9</v>
      </c>
      <c r="G66" t="s">
        <v>12</v>
      </c>
      <c r="H66" s="4">
        <v>0.7368055555555556</v>
      </c>
      <c r="I66" s="5">
        <v>43889</v>
      </c>
    </row>
    <row r="67" spans="1:9" x14ac:dyDescent="0.3">
      <c r="A67" t="s">
        <v>220</v>
      </c>
      <c r="B67" t="s">
        <v>218</v>
      </c>
      <c r="C67" t="s">
        <v>221</v>
      </c>
      <c r="D67" t="s">
        <v>22</v>
      </c>
      <c r="E67" t="s">
        <v>91</v>
      </c>
      <c r="F67">
        <v>8</v>
      </c>
      <c r="G67" t="s">
        <v>47</v>
      </c>
      <c r="H67" s="4">
        <v>0.47222222222222227</v>
      </c>
      <c r="I67" s="5">
        <v>43891</v>
      </c>
    </row>
    <row r="68" spans="1:9" x14ac:dyDescent="0.3">
      <c r="A68" t="s">
        <v>222</v>
      </c>
      <c r="B68" t="s">
        <v>176</v>
      </c>
      <c r="C68" t="s">
        <v>223</v>
      </c>
      <c r="D68" t="s">
        <v>51</v>
      </c>
      <c r="E68" t="s">
        <v>17</v>
      </c>
      <c r="F68">
        <v>10</v>
      </c>
      <c r="G68" t="s">
        <v>47</v>
      </c>
      <c r="H68" s="4">
        <v>0.91736111111111107</v>
      </c>
      <c r="I68" s="5">
        <v>44066</v>
      </c>
    </row>
    <row r="69" spans="1:9" x14ac:dyDescent="0.3">
      <c r="A69" t="s">
        <v>224</v>
      </c>
      <c r="B69" t="s">
        <v>225</v>
      </c>
      <c r="C69" t="s">
        <v>226</v>
      </c>
      <c r="D69" t="s">
        <v>68</v>
      </c>
      <c r="E69" t="s">
        <v>105</v>
      </c>
      <c r="F69">
        <v>6</v>
      </c>
      <c r="G69" t="s">
        <v>47</v>
      </c>
      <c r="H69" s="4">
        <v>0.43611111111111112</v>
      </c>
      <c r="I69" s="5">
        <v>44005</v>
      </c>
    </row>
    <row r="70" spans="1:9" x14ac:dyDescent="0.3">
      <c r="A70" t="s">
        <v>227</v>
      </c>
      <c r="B70" t="s">
        <v>228</v>
      </c>
      <c r="C70" t="s">
        <v>229</v>
      </c>
      <c r="D70" t="s">
        <v>76</v>
      </c>
      <c r="E70" t="s">
        <v>105</v>
      </c>
      <c r="F70">
        <v>4</v>
      </c>
      <c r="G70" t="s">
        <v>47</v>
      </c>
      <c r="H70" s="4">
        <v>0.68541666666666667</v>
      </c>
      <c r="I70" s="5">
        <v>44123</v>
      </c>
    </row>
    <row r="71" spans="1:9" x14ac:dyDescent="0.3">
      <c r="A71" t="s">
        <v>230</v>
      </c>
      <c r="B71" t="s">
        <v>74</v>
      </c>
      <c r="C71" t="s">
        <v>231</v>
      </c>
      <c r="D71" t="s">
        <v>76</v>
      </c>
      <c r="E71" t="s">
        <v>80</v>
      </c>
      <c r="F71">
        <v>4</v>
      </c>
      <c r="G71" t="s">
        <v>18</v>
      </c>
      <c r="H71" s="4">
        <v>0.80833333333333324</v>
      </c>
      <c r="I71" s="5">
        <v>44151</v>
      </c>
    </row>
    <row r="72" spans="1:9" x14ac:dyDescent="0.3">
      <c r="A72" t="s">
        <v>232</v>
      </c>
      <c r="B72" t="s">
        <v>233</v>
      </c>
      <c r="C72" t="s">
        <v>87</v>
      </c>
      <c r="D72" t="s">
        <v>16</v>
      </c>
      <c r="E72" t="s">
        <v>11</v>
      </c>
      <c r="F72">
        <v>3</v>
      </c>
      <c r="G72" t="s">
        <v>18</v>
      </c>
      <c r="H72" s="4">
        <v>0.92152777777777783</v>
      </c>
      <c r="I72" s="5">
        <v>44151</v>
      </c>
    </row>
    <row r="73" spans="1:9" x14ac:dyDescent="0.3">
      <c r="A73" t="s">
        <v>234</v>
      </c>
      <c r="B73" t="s">
        <v>235</v>
      </c>
      <c r="C73" t="s">
        <v>236</v>
      </c>
      <c r="D73" t="s">
        <v>63</v>
      </c>
      <c r="E73" t="s">
        <v>69</v>
      </c>
      <c r="F73">
        <v>6</v>
      </c>
      <c r="G73" t="s">
        <v>47</v>
      </c>
      <c r="H73" s="4">
        <v>0.95486111111111116</v>
      </c>
      <c r="I73" s="5">
        <v>44179</v>
      </c>
    </row>
    <row r="74" spans="1:9" x14ac:dyDescent="0.3">
      <c r="A74" t="s">
        <v>237</v>
      </c>
      <c r="B74" t="s">
        <v>238</v>
      </c>
      <c r="C74" t="s">
        <v>239</v>
      </c>
      <c r="D74" t="s">
        <v>76</v>
      </c>
      <c r="E74" t="s">
        <v>32</v>
      </c>
      <c r="F74">
        <v>10</v>
      </c>
      <c r="G74" t="s">
        <v>47</v>
      </c>
      <c r="H74" s="4">
        <v>0.7368055555555556</v>
      </c>
      <c r="I74" s="5">
        <v>44086</v>
      </c>
    </row>
    <row r="75" spans="1:9" x14ac:dyDescent="0.3">
      <c r="A75" t="s">
        <v>240</v>
      </c>
      <c r="B75" t="s">
        <v>241</v>
      </c>
      <c r="C75" t="s">
        <v>242</v>
      </c>
      <c r="D75" t="s">
        <v>51</v>
      </c>
      <c r="E75" t="s">
        <v>91</v>
      </c>
      <c r="F75">
        <v>3</v>
      </c>
      <c r="G75" t="s">
        <v>47</v>
      </c>
      <c r="H75" s="4">
        <v>0.47222222222222227</v>
      </c>
      <c r="I75" s="5">
        <v>44067</v>
      </c>
    </row>
    <row r="76" spans="1:9" x14ac:dyDescent="0.3">
      <c r="A76" t="s">
        <v>243</v>
      </c>
      <c r="B76" t="s">
        <v>156</v>
      </c>
      <c r="C76" t="s">
        <v>244</v>
      </c>
      <c r="D76" t="s">
        <v>63</v>
      </c>
      <c r="E76" t="s">
        <v>40</v>
      </c>
      <c r="F76">
        <v>8</v>
      </c>
      <c r="G76" t="s">
        <v>47</v>
      </c>
      <c r="H76" s="4">
        <v>0.91736111111111107</v>
      </c>
      <c r="I76" s="5">
        <v>44156</v>
      </c>
    </row>
    <row r="77" spans="1:9" x14ac:dyDescent="0.3">
      <c r="A77" t="s">
        <v>245</v>
      </c>
      <c r="B77" t="s">
        <v>246</v>
      </c>
      <c r="C77" t="s">
        <v>247</v>
      </c>
      <c r="D77" t="s">
        <v>68</v>
      </c>
      <c r="E77" t="s">
        <v>23</v>
      </c>
      <c r="F77">
        <v>8</v>
      </c>
      <c r="G77" t="s">
        <v>47</v>
      </c>
      <c r="H77" s="4">
        <v>0.43611111111111112</v>
      </c>
      <c r="I77" s="5">
        <v>43885</v>
      </c>
    </row>
    <row r="78" spans="1:9" x14ac:dyDescent="0.3">
      <c r="A78" t="s">
        <v>248</v>
      </c>
      <c r="B78" t="s">
        <v>249</v>
      </c>
      <c r="C78" t="s">
        <v>250</v>
      </c>
      <c r="D78" t="s">
        <v>22</v>
      </c>
      <c r="E78" t="s">
        <v>91</v>
      </c>
      <c r="F78">
        <v>8</v>
      </c>
      <c r="G78" t="s">
        <v>18</v>
      </c>
      <c r="H78" s="4">
        <v>0.68541666666666667</v>
      </c>
      <c r="I78" s="5">
        <v>43963</v>
      </c>
    </row>
    <row r="79" spans="1:9" x14ac:dyDescent="0.3">
      <c r="A79" t="s">
        <v>251</v>
      </c>
      <c r="B79" t="s">
        <v>252</v>
      </c>
      <c r="C79" t="s">
        <v>253</v>
      </c>
      <c r="D79" t="s">
        <v>79</v>
      </c>
      <c r="E79" t="s">
        <v>32</v>
      </c>
      <c r="F79">
        <v>5</v>
      </c>
      <c r="G79" t="s">
        <v>12</v>
      </c>
      <c r="H79" s="4">
        <v>0.80833333333333324</v>
      </c>
      <c r="I79" s="5">
        <v>44170</v>
      </c>
    </row>
    <row r="80" spans="1:9" x14ac:dyDescent="0.3">
      <c r="A80" t="s">
        <v>254</v>
      </c>
      <c r="B80" t="s">
        <v>255</v>
      </c>
      <c r="C80" t="s">
        <v>163</v>
      </c>
      <c r="D80" t="s">
        <v>51</v>
      </c>
      <c r="E80" t="s">
        <v>105</v>
      </c>
      <c r="F80">
        <v>8</v>
      </c>
      <c r="G80" t="s">
        <v>47</v>
      </c>
      <c r="H80" s="4">
        <v>0.92152777777777783</v>
      </c>
      <c r="I80" s="5">
        <v>44062</v>
      </c>
    </row>
    <row r="81" spans="1:9" x14ac:dyDescent="0.3">
      <c r="A81" t="s">
        <v>256</v>
      </c>
      <c r="B81" t="s">
        <v>257</v>
      </c>
      <c r="C81" t="s">
        <v>258</v>
      </c>
      <c r="D81" t="s">
        <v>76</v>
      </c>
      <c r="E81" t="s">
        <v>64</v>
      </c>
      <c r="F81">
        <v>5</v>
      </c>
      <c r="G81" t="s">
        <v>12</v>
      </c>
      <c r="H81" s="4">
        <v>0.95486111111111116</v>
      </c>
      <c r="I81" s="5">
        <v>44013</v>
      </c>
    </row>
    <row r="82" spans="1:9" x14ac:dyDescent="0.3">
      <c r="A82" t="s">
        <v>259</v>
      </c>
      <c r="B82" t="s">
        <v>260</v>
      </c>
      <c r="C82" t="s">
        <v>261</v>
      </c>
      <c r="D82" t="s">
        <v>76</v>
      </c>
      <c r="E82" t="s">
        <v>105</v>
      </c>
      <c r="F82">
        <v>9</v>
      </c>
      <c r="G82" t="s">
        <v>47</v>
      </c>
      <c r="H82" s="4">
        <v>0.7368055555555556</v>
      </c>
      <c r="I82" s="5">
        <v>44185</v>
      </c>
    </row>
    <row r="83" spans="1:9" x14ac:dyDescent="0.3">
      <c r="A83" t="s">
        <v>262</v>
      </c>
      <c r="B83" t="s">
        <v>263</v>
      </c>
      <c r="C83" t="s">
        <v>264</v>
      </c>
      <c r="D83" t="s">
        <v>76</v>
      </c>
      <c r="E83" t="s">
        <v>130</v>
      </c>
      <c r="F83">
        <v>4</v>
      </c>
      <c r="G83" t="s">
        <v>18</v>
      </c>
      <c r="H83" s="4">
        <v>0.47222222222222227</v>
      </c>
      <c r="I83" s="5">
        <v>44068</v>
      </c>
    </row>
    <row r="84" spans="1:9" x14ac:dyDescent="0.3">
      <c r="A84" t="s">
        <v>265</v>
      </c>
      <c r="B84" t="s">
        <v>266</v>
      </c>
      <c r="C84" t="s">
        <v>35</v>
      </c>
      <c r="D84" t="s">
        <v>22</v>
      </c>
      <c r="E84" t="s">
        <v>36</v>
      </c>
      <c r="F84">
        <v>5</v>
      </c>
      <c r="G84" t="s">
        <v>12</v>
      </c>
      <c r="H84" s="4">
        <v>0.91736111111111107</v>
      </c>
      <c r="I84" s="5">
        <v>43877</v>
      </c>
    </row>
    <row r="85" spans="1:9" x14ac:dyDescent="0.3">
      <c r="A85" t="s">
        <v>267</v>
      </c>
      <c r="B85" t="s">
        <v>268</v>
      </c>
      <c r="C85" t="s">
        <v>269</v>
      </c>
      <c r="D85" t="s">
        <v>76</v>
      </c>
      <c r="E85" t="s">
        <v>80</v>
      </c>
      <c r="F85">
        <v>10</v>
      </c>
      <c r="G85" t="s">
        <v>47</v>
      </c>
      <c r="H85" s="4">
        <v>0.43611111111111112</v>
      </c>
      <c r="I85" s="5">
        <v>43863</v>
      </c>
    </row>
    <row r="86" spans="1:9" x14ac:dyDescent="0.3">
      <c r="A86" t="s">
        <v>270</v>
      </c>
      <c r="B86" t="s">
        <v>271</v>
      </c>
      <c r="C86" t="s">
        <v>272</v>
      </c>
      <c r="D86" t="s">
        <v>76</v>
      </c>
      <c r="E86" t="s">
        <v>84</v>
      </c>
      <c r="F86">
        <v>6</v>
      </c>
      <c r="G86" t="s">
        <v>47</v>
      </c>
      <c r="H86" s="4">
        <v>0.68541666666666667</v>
      </c>
      <c r="I86" s="5">
        <v>44141</v>
      </c>
    </row>
    <row r="87" spans="1:9" x14ac:dyDescent="0.3">
      <c r="A87" t="s">
        <v>273</v>
      </c>
      <c r="B87" t="s">
        <v>141</v>
      </c>
      <c r="C87" t="s">
        <v>274</v>
      </c>
      <c r="D87" t="s">
        <v>31</v>
      </c>
      <c r="E87" t="s">
        <v>17</v>
      </c>
      <c r="F87">
        <v>3</v>
      </c>
      <c r="G87" t="s">
        <v>12</v>
      </c>
      <c r="H87" s="4">
        <v>0.80833333333333324</v>
      </c>
      <c r="I87" s="5">
        <v>44086</v>
      </c>
    </row>
    <row r="88" spans="1:9" x14ac:dyDescent="0.3">
      <c r="A88" t="s">
        <v>275</v>
      </c>
      <c r="B88" t="s">
        <v>144</v>
      </c>
      <c r="C88" t="s">
        <v>276</v>
      </c>
      <c r="D88" t="s">
        <v>16</v>
      </c>
      <c r="E88" t="s">
        <v>84</v>
      </c>
      <c r="F88">
        <v>7</v>
      </c>
      <c r="G88" t="s">
        <v>47</v>
      </c>
      <c r="H88" s="4">
        <v>0.92152777777777783</v>
      </c>
      <c r="I88" s="5">
        <v>43865</v>
      </c>
    </row>
    <row r="89" spans="1:9" x14ac:dyDescent="0.3">
      <c r="A89" t="s">
        <v>277</v>
      </c>
      <c r="B89" t="s">
        <v>278</v>
      </c>
      <c r="C89" t="s">
        <v>279</v>
      </c>
      <c r="D89" t="s">
        <v>79</v>
      </c>
      <c r="E89" t="s">
        <v>64</v>
      </c>
      <c r="F89">
        <v>10</v>
      </c>
      <c r="G89" t="s">
        <v>18</v>
      </c>
      <c r="H89" s="4">
        <v>0.95486111111111116</v>
      </c>
      <c r="I89" s="5">
        <v>43954</v>
      </c>
    </row>
    <row r="90" spans="1:9" x14ac:dyDescent="0.3">
      <c r="A90" t="s">
        <v>280</v>
      </c>
      <c r="B90" t="s">
        <v>176</v>
      </c>
      <c r="C90" t="s">
        <v>120</v>
      </c>
      <c r="D90" t="s">
        <v>63</v>
      </c>
      <c r="E90" t="s">
        <v>91</v>
      </c>
      <c r="F90">
        <v>4</v>
      </c>
      <c r="G90" t="s">
        <v>12</v>
      </c>
      <c r="H90" s="4">
        <v>0.7368055555555556</v>
      </c>
      <c r="I90" s="5">
        <v>44093</v>
      </c>
    </row>
    <row r="91" spans="1:9" x14ac:dyDescent="0.3">
      <c r="A91" t="s">
        <v>281</v>
      </c>
      <c r="B91" t="s">
        <v>282</v>
      </c>
      <c r="C91" t="s">
        <v>283</v>
      </c>
      <c r="D91" t="s">
        <v>22</v>
      </c>
      <c r="E91" t="s">
        <v>105</v>
      </c>
      <c r="F91">
        <v>6</v>
      </c>
      <c r="G91" t="s">
        <v>47</v>
      </c>
      <c r="H91" s="4">
        <v>0.47222222222222227</v>
      </c>
      <c r="I91" s="5">
        <v>44028</v>
      </c>
    </row>
    <row r="92" spans="1:9" x14ac:dyDescent="0.3">
      <c r="A92" t="s">
        <v>284</v>
      </c>
      <c r="B92" t="s">
        <v>285</v>
      </c>
      <c r="C92" t="s">
        <v>286</v>
      </c>
      <c r="D92" t="s">
        <v>31</v>
      </c>
      <c r="E92" t="s">
        <v>11</v>
      </c>
      <c r="F92">
        <v>6</v>
      </c>
      <c r="G92" t="s">
        <v>47</v>
      </c>
      <c r="H92" s="4">
        <v>0.91736111111111107</v>
      </c>
      <c r="I92" s="5">
        <v>44151</v>
      </c>
    </row>
    <row r="93" spans="1:9" x14ac:dyDescent="0.3">
      <c r="A93" t="s">
        <v>287</v>
      </c>
      <c r="B93" t="s">
        <v>288</v>
      </c>
      <c r="C93" t="s">
        <v>289</v>
      </c>
      <c r="D93" t="s">
        <v>79</v>
      </c>
      <c r="E93" t="s">
        <v>69</v>
      </c>
      <c r="F93">
        <v>3</v>
      </c>
      <c r="G93" t="s">
        <v>12</v>
      </c>
      <c r="H93" s="4">
        <v>0.43611111111111112</v>
      </c>
      <c r="I93" s="5">
        <v>43837</v>
      </c>
    </row>
    <row r="94" spans="1:9" x14ac:dyDescent="0.3">
      <c r="A94" t="s">
        <v>290</v>
      </c>
      <c r="B94" t="s">
        <v>89</v>
      </c>
      <c r="C94" t="s">
        <v>291</v>
      </c>
      <c r="D94" t="s">
        <v>16</v>
      </c>
      <c r="E94" t="s">
        <v>36</v>
      </c>
      <c r="F94">
        <v>3</v>
      </c>
      <c r="G94" t="s">
        <v>47</v>
      </c>
      <c r="H94" s="4">
        <v>0.68541666666666667</v>
      </c>
      <c r="I94" s="5">
        <v>44083</v>
      </c>
    </row>
    <row r="95" spans="1:9" x14ac:dyDescent="0.3">
      <c r="A95" t="s">
        <v>292</v>
      </c>
      <c r="B95" t="s">
        <v>98</v>
      </c>
      <c r="C95" t="s">
        <v>293</v>
      </c>
      <c r="D95" t="s">
        <v>10</v>
      </c>
      <c r="E95" t="s">
        <v>32</v>
      </c>
      <c r="F95">
        <v>9</v>
      </c>
      <c r="G95" t="s">
        <v>18</v>
      </c>
      <c r="H95" s="4">
        <v>0.80833333333333324</v>
      </c>
      <c r="I95" s="5">
        <v>43999</v>
      </c>
    </row>
    <row r="96" spans="1:9" x14ac:dyDescent="0.3">
      <c r="A96" t="s">
        <v>294</v>
      </c>
      <c r="B96" t="s">
        <v>295</v>
      </c>
      <c r="C96" t="s">
        <v>50</v>
      </c>
      <c r="D96" t="s">
        <v>76</v>
      </c>
      <c r="E96" t="s">
        <v>23</v>
      </c>
      <c r="F96">
        <v>7</v>
      </c>
      <c r="G96" t="s">
        <v>12</v>
      </c>
      <c r="H96" s="4">
        <v>0.92152777777777783</v>
      </c>
      <c r="I96" s="5">
        <v>44071</v>
      </c>
    </row>
    <row r="97" spans="1:9" x14ac:dyDescent="0.3">
      <c r="A97" t="s">
        <v>296</v>
      </c>
      <c r="B97" t="s">
        <v>297</v>
      </c>
      <c r="C97" t="s">
        <v>298</v>
      </c>
      <c r="D97" t="s">
        <v>63</v>
      </c>
      <c r="E97" t="s">
        <v>40</v>
      </c>
      <c r="F97">
        <v>4</v>
      </c>
      <c r="G97" t="s">
        <v>47</v>
      </c>
      <c r="H97" s="4">
        <v>0.95486111111111116</v>
      </c>
      <c r="I97" s="5">
        <v>44147</v>
      </c>
    </row>
    <row r="98" spans="1:9" x14ac:dyDescent="0.3">
      <c r="A98" t="s">
        <v>299</v>
      </c>
      <c r="B98" t="s">
        <v>300</v>
      </c>
      <c r="C98" t="s">
        <v>301</v>
      </c>
      <c r="D98" t="s">
        <v>16</v>
      </c>
      <c r="E98" t="s">
        <v>69</v>
      </c>
      <c r="F98">
        <v>5</v>
      </c>
      <c r="G98" t="s">
        <v>47</v>
      </c>
      <c r="H98" s="4">
        <v>0.7368055555555556</v>
      </c>
      <c r="I98" s="5">
        <v>43863</v>
      </c>
    </row>
    <row r="99" spans="1:9" x14ac:dyDescent="0.3">
      <c r="A99" t="s">
        <v>302</v>
      </c>
      <c r="B99" t="s">
        <v>303</v>
      </c>
      <c r="C99" t="s">
        <v>304</v>
      </c>
      <c r="D99" t="s">
        <v>51</v>
      </c>
      <c r="E99" t="s">
        <v>40</v>
      </c>
      <c r="F99">
        <v>6</v>
      </c>
      <c r="G99" t="s">
        <v>47</v>
      </c>
      <c r="H99" s="4">
        <v>0.47222222222222227</v>
      </c>
      <c r="I99" s="5">
        <v>44056</v>
      </c>
    </row>
    <row r="100" spans="1:9" x14ac:dyDescent="0.3">
      <c r="A100" t="s">
        <v>305</v>
      </c>
      <c r="B100" t="s">
        <v>306</v>
      </c>
      <c r="C100" t="s">
        <v>307</v>
      </c>
      <c r="D100" t="s">
        <v>79</v>
      </c>
      <c r="E100" t="s">
        <v>17</v>
      </c>
      <c r="F100">
        <v>3</v>
      </c>
      <c r="G100" t="s">
        <v>12</v>
      </c>
      <c r="H100" s="4">
        <v>0.91736111111111107</v>
      </c>
      <c r="I100" s="5">
        <v>44112</v>
      </c>
    </row>
    <row r="101" spans="1:9" x14ac:dyDescent="0.3">
      <c r="A101" t="s">
        <v>308</v>
      </c>
      <c r="B101" t="s">
        <v>309</v>
      </c>
      <c r="C101" t="s">
        <v>310</v>
      </c>
      <c r="D101" t="s">
        <v>22</v>
      </c>
      <c r="E101" t="s">
        <v>27</v>
      </c>
      <c r="F101">
        <v>8</v>
      </c>
      <c r="G101" t="s">
        <v>12</v>
      </c>
      <c r="H101" s="4">
        <v>0.43611111111111112</v>
      </c>
      <c r="I101" s="5">
        <v>43836</v>
      </c>
    </row>
    <row r="102" spans="1:9" x14ac:dyDescent="0.3">
      <c r="A102" t="s">
        <v>311</v>
      </c>
      <c r="B102" t="s">
        <v>312</v>
      </c>
      <c r="C102" t="s">
        <v>313</v>
      </c>
      <c r="D102" t="s">
        <v>79</v>
      </c>
      <c r="E102" t="s">
        <v>84</v>
      </c>
      <c r="F102">
        <v>9</v>
      </c>
      <c r="G102" t="s">
        <v>47</v>
      </c>
      <c r="H102" s="4">
        <v>0.68541666666666667</v>
      </c>
      <c r="I102" s="5">
        <v>43906</v>
      </c>
    </row>
    <row r="103" spans="1:9" x14ac:dyDescent="0.3">
      <c r="A103" t="s">
        <v>314</v>
      </c>
      <c r="B103" t="s">
        <v>315</v>
      </c>
      <c r="C103" t="s">
        <v>316</v>
      </c>
      <c r="D103" t="s">
        <v>16</v>
      </c>
      <c r="E103" t="s">
        <v>64</v>
      </c>
      <c r="F103">
        <v>6</v>
      </c>
      <c r="G103" t="s">
        <v>18</v>
      </c>
      <c r="H103" s="4">
        <v>0.80833333333333324</v>
      </c>
      <c r="I103" s="5">
        <v>43968</v>
      </c>
    </row>
    <row r="104" spans="1:9" x14ac:dyDescent="0.3">
      <c r="A104" t="s">
        <v>317</v>
      </c>
      <c r="B104" t="s">
        <v>318</v>
      </c>
      <c r="C104" t="s">
        <v>319</v>
      </c>
      <c r="D104" t="s">
        <v>76</v>
      </c>
      <c r="E104" t="s">
        <v>105</v>
      </c>
      <c r="F104">
        <v>8</v>
      </c>
      <c r="G104" t="s">
        <v>18</v>
      </c>
      <c r="H104" s="4">
        <v>0.92152777777777783</v>
      </c>
      <c r="I104" s="5">
        <v>44126</v>
      </c>
    </row>
    <row r="105" spans="1:9" x14ac:dyDescent="0.3">
      <c r="A105" t="s">
        <v>320</v>
      </c>
      <c r="B105" t="s">
        <v>321</v>
      </c>
      <c r="C105" t="s">
        <v>322</v>
      </c>
      <c r="D105" t="s">
        <v>22</v>
      </c>
      <c r="E105" t="s">
        <v>84</v>
      </c>
      <c r="F105">
        <v>6</v>
      </c>
      <c r="G105" t="s">
        <v>18</v>
      </c>
      <c r="H105" s="4">
        <v>0.95486111111111116</v>
      </c>
      <c r="I105" s="5">
        <v>44173</v>
      </c>
    </row>
    <row r="106" spans="1:9" x14ac:dyDescent="0.3">
      <c r="A106" t="s">
        <v>323</v>
      </c>
      <c r="B106" t="s">
        <v>98</v>
      </c>
      <c r="C106" t="s">
        <v>324</v>
      </c>
      <c r="D106" t="s">
        <v>76</v>
      </c>
      <c r="E106" t="s">
        <v>91</v>
      </c>
      <c r="F106">
        <v>6</v>
      </c>
      <c r="G106" t="s">
        <v>47</v>
      </c>
      <c r="H106" s="4">
        <v>0.7368055555555556</v>
      </c>
      <c r="I106" s="5">
        <v>43899</v>
      </c>
    </row>
    <row r="107" spans="1:9" x14ac:dyDescent="0.3">
      <c r="A107" t="s">
        <v>325</v>
      </c>
      <c r="B107" t="s">
        <v>282</v>
      </c>
      <c r="C107" t="s">
        <v>326</v>
      </c>
      <c r="D107" t="s">
        <v>10</v>
      </c>
      <c r="E107" t="s">
        <v>69</v>
      </c>
      <c r="F107">
        <v>7</v>
      </c>
      <c r="G107" t="s">
        <v>12</v>
      </c>
      <c r="H107" s="4">
        <v>0.47222222222222227</v>
      </c>
      <c r="I107" s="5">
        <v>43996</v>
      </c>
    </row>
    <row r="108" spans="1:9" x14ac:dyDescent="0.3">
      <c r="A108" t="s">
        <v>327</v>
      </c>
      <c r="B108" t="s">
        <v>328</v>
      </c>
      <c r="C108" t="s">
        <v>329</v>
      </c>
      <c r="D108" t="s">
        <v>79</v>
      </c>
      <c r="E108" t="s">
        <v>40</v>
      </c>
      <c r="F108">
        <v>3</v>
      </c>
      <c r="G108" t="s">
        <v>47</v>
      </c>
      <c r="H108" s="4">
        <v>0.91736111111111107</v>
      </c>
      <c r="I108" s="5">
        <v>43892</v>
      </c>
    </row>
    <row r="109" spans="1:9" x14ac:dyDescent="0.3">
      <c r="A109" t="s">
        <v>330</v>
      </c>
      <c r="B109" t="s">
        <v>122</v>
      </c>
      <c r="C109" t="s">
        <v>331</v>
      </c>
      <c r="D109" t="s">
        <v>31</v>
      </c>
      <c r="E109" t="s">
        <v>84</v>
      </c>
      <c r="F109">
        <v>5</v>
      </c>
      <c r="G109" t="s">
        <v>12</v>
      </c>
      <c r="H109" s="4">
        <v>0.43611111111111112</v>
      </c>
      <c r="I109" s="5">
        <v>44151</v>
      </c>
    </row>
    <row r="110" spans="1:9" x14ac:dyDescent="0.3">
      <c r="A110" t="s">
        <v>332</v>
      </c>
      <c r="B110" t="s">
        <v>333</v>
      </c>
      <c r="C110" t="s">
        <v>334</v>
      </c>
      <c r="D110" t="s">
        <v>16</v>
      </c>
      <c r="E110" t="s">
        <v>130</v>
      </c>
      <c r="F110">
        <v>10</v>
      </c>
      <c r="G110" t="s">
        <v>47</v>
      </c>
      <c r="H110" s="4">
        <v>0.68541666666666667</v>
      </c>
      <c r="I110" s="5">
        <v>44015</v>
      </c>
    </row>
    <row r="111" spans="1:9" x14ac:dyDescent="0.3">
      <c r="A111" t="s">
        <v>335</v>
      </c>
      <c r="B111" t="s">
        <v>210</v>
      </c>
      <c r="C111" t="s">
        <v>336</v>
      </c>
      <c r="D111" t="s">
        <v>68</v>
      </c>
      <c r="E111" t="s">
        <v>80</v>
      </c>
      <c r="F111">
        <v>9</v>
      </c>
      <c r="G111" t="s">
        <v>47</v>
      </c>
      <c r="H111" s="4">
        <v>0.80833333333333324</v>
      </c>
      <c r="I111" s="5">
        <v>43978</v>
      </c>
    </row>
    <row r="112" spans="1:9" x14ac:dyDescent="0.3">
      <c r="A112" t="s">
        <v>337</v>
      </c>
      <c r="B112" t="s">
        <v>338</v>
      </c>
      <c r="C112" t="s">
        <v>339</v>
      </c>
      <c r="D112" t="s">
        <v>51</v>
      </c>
      <c r="E112" t="s">
        <v>27</v>
      </c>
      <c r="F112">
        <v>3</v>
      </c>
      <c r="G112" t="s">
        <v>18</v>
      </c>
      <c r="H112" s="4">
        <v>0.92152777777777783</v>
      </c>
      <c r="I112" s="5">
        <v>43854</v>
      </c>
    </row>
    <row r="113" spans="1:9" x14ac:dyDescent="0.3">
      <c r="A113" t="s">
        <v>340</v>
      </c>
      <c r="B113" t="s">
        <v>341</v>
      </c>
      <c r="C113" t="s">
        <v>342</v>
      </c>
      <c r="D113" t="s">
        <v>22</v>
      </c>
      <c r="E113" t="s">
        <v>32</v>
      </c>
      <c r="F113">
        <v>10</v>
      </c>
      <c r="G113" t="s">
        <v>343</v>
      </c>
      <c r="H113" s="4">
        <v>0.95486111111111116</v>
      </c>
      <c r="I113" s="5">
        <v>44036</v>
      </c>
    </row>
    <row r="114" spans="1:9" x14ac:dyDescent="0.3">
      <c r="A114" t="s">
        <v>344</v>
      </c>
      <c r="B114" t="s">
        <v>345</v>
      </c>
      <c r="C114" t="s">
        <v>15</v>
      </c>
      <c r="D114" t="s">
        <v>79</v>
      </c>
      <c r="E114" t="s">
        <v>11</v>
      </c>
      <c r="F114">
        <v>5</v>
      </c>
      <c r="G114" t="s">
        <v>18</v>
      </c>
      <c r="H114" s="4">
        <v>0.7368055555555556</v>
      </c>
      <c r="I114" s="5">
        <v>43893</v>
      </c>
    </row>
    <row r="115" spans="1:9" x14ac:dyDescent="0.3">
      <c r="A115" t="s">
        <v>346</v>
      </c>
      <c r="B115" t="s">
        <v>119</v>
      </c>
      <c r="C115" t="s">
        <v>347</v>
      </c>
      <c r="D115" t="s">
        <v>10</v>
      </c>
      <c r="E115" t="s">
        <v>80</v>
      </c>
      <c r="F115">
        <v>9</v>
      </c>
      <c r="G115" t="s">
        <v>47</v>
      </c>
      <c r="H115" s="4">
        <v>0.47222222222222227</v>
      </c>
      <c r="I115" s="5">
        <v>43908</v>
      </c>
    </row>
    <row r="116" spans="1:9" x14ac:dyDescent="0.3">
      <c r="A116" t="s">
        <v>348</v>
      </c>
      <c r="B116" t="s">
        <v>349</v>
      </c>
      <c r="C116" t="s">
        <v>350</v>
      </c>
      <c r="D116" t="s">
        <v>16</v>
      </c>
      <c r="E116" t="s">
        <v>32</v>
      </c>
      <c r="F116">
        <v>7</v>
      </c>
      <c r="G116" t="s">
        <v>18</v>
      </c>
      <c r="H116" s="4">
        <v>0.91736111111111107</v>
      </c>
      <c r="I116" s="5">
        <v>44052</v>
      </c>
    </row>
    <row r="117" spans="1:9" x14ac:dyDescent="0.3">
      <c r="A117" t="s">
        <v>351</v>
      </c>
      <c r="B117" t="s">
        <v>352</v>
      </c>
      <c r="C117" t="s">
        <v>353</v>
      </c>
      <c r="D117" t="s">
        <v>31</v>
      </c>
      <c r="E117" t="s">
        <v>69</v>
      </c>
      <c r="F117">
        <v>5</v>
      </c>
      <c r="G117" t="s">
        <v>47</v>
      </c>
      <c r="H117" s="4">
        <v>0.43611111111111112</v>
      </c>
      <c r="I117" s="5">
        <v>44022</v>
      </c>
    </row>
    <row r="118" spans="1:9" x14ac:dyDescent="0.3">
      <c r="A118" t="s">
        <v>354</v>
      </c>
      <c r="B118" t="s">
        <v>349</v>
      </c>
      <c r="C118" t="s">
        <v>355</v>
      </c>
      <c r="D118" t="s">
        <v>31</v>
      </c>
      <c r="E118" t="s">
        <v>11</v>
      </c>
      <c r="F118">
        <v>8</v>
      </c>
      <c r="G118" t="s">
        <v>47</v>
      </c>
      <c r="H118" s="4">
        <v>0.68541666666666667</v>
      </c>
      <c r="I118" s="5">
        <v>44114</v>
      </c>
    </row>
    <row r="119" spans="1:9" x14ac:dyDescent="0.3">
      <c r="A119" t="s">
        <v>356</v>
      </c>
      <c r="B119" t="s">
        <v>98</v>
      </c>
      <c r="C119" t="s">
        <v>357</v>
      </c>
      <c r="D119" t="s">
        <v>31</v>
      </c>
      <c r="E119" t="s">
        <v>27</v>
      </c>
      <c r="F119">
        <v>9</v>
      </c>
      <c r="G119" t="s">
        <v>47</v>
      </c>
      <c r="H119" s="4">
        <v>0.80833333333333324</v>
      </c>
      <c r="I119" s="5">
        <v>43866</v>
      </c>
    </row>
    <row r="120" spans="1:9" x14ac:dyDescent="0.3">
      <c r="A120" t="s">
        <v>358</v>
      </c>
      <c r="B120" t="s">
        <v>359</v>
      </c>
      <c r="C120" t="s">
        <v>253</v>
      </c>
      <c r="D120" t="s">
        <v>16</v>
      </c>
      <c r="E120" t="s">
        <v>11</v>
      </c>
      <c r="F120">
        <v>7</v>
      </c>
      <c r="G120" t="s">
        <v>18</v>
      </c>
      <c r="H120" s="4">
        <v>0.92152777777777783</v>
      </c>
      <c r="I120" s="5">
        <v>43845</v>
      </c>
    </row>
    <row r="121" spans="1:9" x14ac:dyDescent="0.3">
      <c r="A121" t="s">
        <v>360</v>
      </c>
      <c r="B121" t="s">
        <v>361</v>
      </c>
      <c r="C121" t="s">
        <v>362</v>
      </c>
      <c r="D121" t="s">
        <v>76</v>
      </c>
      <c r="E121" t="s">
        <v>23</v>
      </c>
      <c r="F121">
        <v>6</v>
      </c>
      <c r="G121" t="s">
        <v>18</v>
      </c>
      <c r="H121" s="4">
        <v>0.95486111111111116</v>
      </c>
      <c r="I121" s="5">
        <v>43858</v>
      </c>
    </row>
    <row r="122" spans="1:9" x14ac:dyDescent="0.3">
      <c r="A122" t="s">
        <v>363</v>
      </c>
      <c r="B122" t="s">
        <v>364</v>
      </c>
      <c r="C122" t="s">
        <v>365</v>
      </c>
      <c r="D122" t="s">
        <v>51</v>
      </c>
      <c r="E122" t="s">
        <v>36</v>
      </c>
      <c r="F122">
        <v>6</v>
      </c>
      <c r="G122" t="s">
        <v>47</v>
      </c>
      <c r="H122" s="4">
        <v>0.7368055555555556</v>
      </c>
      <c r="I122" s="5">
        <v>43856</v>
      </c>
    </row>
    <row r="123" spans="1:9" x14ac:dyDescent="0.3">
      <c r="A123" t="s">
        <v>366</v>
      </c>
      <c r="B123" t="s">
        <v>367</v>
      </c>
      <c r="C123" t="s">
        <v>368</v>
      </c>
      <c r="D123" t="s">
        <v>63</v>
      </c>
      <c r="E123" t="s">
        <v>105</v>
      </c>
      <c r="F123">
        <v>7</v>
      </c>
      <c r="G123" t="s">
        <v>18</v>
      </c>
      <c r="H123" s="4">
        <v>0.47222222222222227</v>
      </c>
      <c r="I123" s="5">
        <v>43912</v>
      </c>
    </row>
    <row r="124" spans="1:9" x14ac:dyDescent="0.3">
      <c r="A124" t="s">
        <v>369</v>
      </c>
      <c r="B124" t="s">
        <v>226</v>
      </c>
      <c r="C124" t="s">
        <v>370</v>
      </c>
      <c r="D124" t="s">
        <v>68</v>
      </c>
      <c r="E124" t="s">
        <v>69</v>
      </c>
      <c r="F124">
        <v>7</v>
      </c>
      <c r="G124" t="s">
        <v>12</v>
      </c>
      <c r="H124" s="4">
        <v>0.91736111111111107</v>
      </c>
      <c r="I124" s="5">
        <v>44106</v>
      </c>
    </row>
    <row r="125" spans="1:9" x14ac:dyDescent="0.3">
      <c r="A125" t="s">
        <v>371</v>
      </c>
      <c r="B125" t="s">
        <v>372</v>
      </c>
      <c r="C125" t="s">
        <v>231</v>
      </c>
      <c r="D125" t="s">
        <v>79</v>
      </c>
      <c r="E125" t="s">
        <v>91</v>
      </c>
      <c r="F125">
        <v>3</v>
      </c>
      <c r="G125" t="s">
        <v>47</v>
      </c>
      <c r="H125" s="4">
        <v>0.43611111111111112</v>
      </c>
      <c r="I125" s="5">
        <v>43938</v>
      </c>
    </row>
    <row r="126" spans="1:9" x14ac:dyDescent="0.3">
      <c r="A126" t="s">
        <v>373</v>
      </c>
      <c r="B126" t="s">
        <v>374</v>
      </c>
      <c r="C126" t="s">
        <v>375</v>
      </c>
      <c r="D126" t="s">
        <v>16</v>
      </c>
      <c r="E126" t="s">
        <v>36</v>
      </c>
      <c r="F126">
        <v>3</v>
      </c>
      <c r="G126" t="s">
        <v>12</v>
      </c>
      <c r="H126" s="4">
        <v>0.68541666666666667</v>
      </c>
      <c r="I126" s="5">
        <v>44088</v>
      </c>
    </row>
    <row r="127" spans="1:9" x14ac:dyDescent="0.3">
      <c r="A127" t="s">
        <v>376</v>
      </c>
      <c r="B127" t="s">
        <v>377</v>
      </c>
      <c r="C127" t="s">
        <v>347</v>
      </c>
      <c r="D127" t="s">
        <v>10</v>
      </c>
      <c r="E127" t="s">
        <v>40</v>
      </c>
      <c r="F127">
        <v>9</v>
      </c>
      <c r="G127" t="s">
        <v>12</v>
      </c>
      <c r="H127" s="4">
        <v>0.80833333333333324</v>
      </c>
      <c r="I127" s="5">
        <v>44062</v>
      </c>
    </row>
    <row r="128" spans="1:9" x14ac:dyDescent="0.3">
      <c r="A128" t="s">
        <v>378</v>
      </c>
      <c r="B128" t="s">
        <v>379</v>
      </c>
      <c r="C128" t="s">
        <v>380</v>
      </c>
      <c r="D128" t="s">
        <v>16</v>
      </c>
      <c r="E128" t="s">
        <v>130</v>
      </c>
      <c r="F128">
        <v>10</v>
      </c>
      <c r="G128" t="s">
        <v>47</v>
      </c>
      <c r="H128" s="4">
        <v>0.92152777777777783</v>
      </c>
      <c r="I128" s="5">
        <v>43839</v>
      </c>
    </row>
    <row r="129" spans="1:9" x14ac:dyDescent="0.3">
      <c r="A129" t="s">
        <v>381</v>
      </c>
      <c r="B129" t="s">
        <v>382</v>
      </c>
      <c r="C129" t="s">
        <v>383</v>
      </c>
      <c r="D129" t="s">
        <v>22</v>
      </c>
      <c r="E129" t="s">
        <v>91</v>
      </c>
      <c r="F129">
        <v>7</v>
      </c>
      <c r="G129" t="s">
        <v>18</v>
      </c>
      <c r="H129" s="4">
        <v>0.95486111111111116</v>
      </c>
      <c r="I129" s="5">
        <v>44149</v>
      </c>
    </row>
    <row r="130" spans="1:9" x14ac:dyDescent="0.3">
      <c r="A130" t="s">
        <v>384</v>
      </c>
      <c r="B130" t="s">
        <v>385</v>
      </c>
      <c r="C130" t="s">
        <v>50</v>
      </c>
      <c r="D130" t="s">
        <v>51</v>
      </c>
      <c r="E130" t="s">
        <v>130</v>
      </c>
      <c r="F130">
        <v>9</v>
      </c>
      <c r="G130" t="s">
        <v>12</v>
      </c>
      <c r="H130" s="4">
        <v>0.7368055555555556</v>
      </c>
      <c r="I130" s="5">
        <v>44159</v>
      </c>
    </row>
    <row r="131" spans="1:9" x14ac:dyDescent="0.3">
      <c r="A131" t="s">
        <v>386</v>
      </c>
      <c r="B131" t="s">
        <v>387</v>
      </c>
      <c r="C131" t="s">
        <v>388</v>
      </c>
      <c r="D131" t="s">
        <v>76</v>
      </c>
      <c r="E131" t="s">
        <v>36</v>
      </c>
      <c r="F131">
        <v>3</v>
      </c>
      <c r="G131" t="s">
        <v>18</v>
      </c>
      <c r="H131" s="4">
        <v>0.47222222222222227</v>
      </c>
      <c r="I131" s="5">
        <v>43872</v>
      </c>
    </row>
    <row r="132" spans="1:9" x14ac:dyDescent="0.3">
      <c r="A132" t="s">
        <v>389</v>
      </c>
      <c r="B132" t="s">
        <v>128</v>
      </c>
      <c r="C132" t="s">
        <v>390</v>
      </c>
      <c r="D132" t="s">
        <v>63</v>
      </c>
      <c r="E132" t="s">
        <v>23</v>
      </c>
      <c r="F132">
        <v>9</v>
      </c>
      <c r="G132" t="s">
        <v>47</v>
      </c>
      <c r="H132" s="4">
        <v>0.91736111111111107</v>
      </c>
      <c r="I132" s="5">
        <v>44097</v>
      </c>
    </row>
    <row r="133" spans="1:9" x14ac:dyDescent="0.3">
      <c r="A133" t="s">
        <v>391</v>
      </c>
      <c r="B133" t="s">
        <v>392</v>
      </c>
      <c r="C133" t="s">
        <v>393</v>
      </c>
      <c r="D133" t="s">
        <v>16</v>
      </c>
      <c r="E133" t="s">
        <v>64</v>
      </c>
      <c r="F133">
        <v>4</v>
      </c>
      <c r="G133" t="s">
        <v>47</v>
      </c>
      <c r="H133" s="4">
        <v>0.43611111111111112</v>
      </c>
      <c r="I133" s="5">
        <v>43918</v>
      </c>
    </row>
    <row r="134" spans="1:9" x14ac:dyDescent="0.3">
      <c r="A134" t="s">
        <v>394</v>
      </c>
      <c r="B134" t="s">
        <v>395</v>
      </c>
      <c r="C134" t="s">
        <v>30</v>
      </c>
      <c r="D134" t="s">
        <v>22</v>
      </c>
      <c r="E134" t="s">
        <v>64</v>
      </c>
      <c r="F134">
        <v>5</v>
      </c>
      <c r="G134" t="s">
        <v>47</v>
      </c>
      <c r="H134" s="4">
        <v>0.68541666666666667</v>
      </c>
      <c r="I134" s="5">
        <v>43913</v>
      </c>
    </row>
    <row r="135" spans="1:9" x14ac:dyDescent="0.3">
      <c r="A135" t="s">
        <v>396</v>
      </c>
      <c r="B135" t="s">
        <v>125</v>
      </c>
      <c r="C135" t="s">
        <v>397</v>
      </c>
      <c r="D135" t="s">
        <v>22</v>
      </c>
      <c r="E135" t="s">
        <v>11</v>
      </c>
      <c r="F135">
        <v>6</v>
      </c>
      <c r="G135" t="s">
        <v>47</v>
      </c>
      <c r="H135" s="4">
        <v>0.80833333333333324</v>
      </c>
      <c r="I135" s="5">
        <v>44015</v>
      </c>
    </row>
    <row r="136" spans="1:9" x14ac:dyDescent="0.3">
      <c r="A136" t="s">
        <v>398</v>
      </c>
      <c r="B136" t="s">
        <v>399</v>
      </c>
      <c r="C136" t="s">
        <v>83</v>
      </c>
      <c r="D136" t="s">
        <v>22</v>
      </c>
      <c r="E136" t="s">
        <v>84</v>
      </c>
      <c r="F136">
        <v>6</v>
      </c>
      <c r="G136" t="s">
        <v>47</v>
      </c>
      <c r="H136" s="4">
        <v>0.92152777777777783</v>
      </c>
      <c r="I136" s="5">
        <v>44003</v>
      </c>
    </row>
    <row r="137" spans="1:9" x14ac:dyDescent="0.3">
      <c r="A137" t="s">
        <v>400</v>
      </c>
      <c r="B137" t="s">
        <v>401</v>
      </c>
      <c r="C137" t="s">
        <v>402</v>
      </c>
      <c r="D137" t="s">
        <v>22</v>
      </c>
      <c r="E137" t="s">
        <v>130</v>
      </c>
      <c r="F137">
        <v>3</v>
      </c>
      <c r="G137" t="s">
        <v>47</v>
      </c>
      <c r="H137" s="4">
        <v>0.95486111111111116</v>
      </c>
      <c r="I137" s="5">
        <v>44006</v>
      </c>
    </row>
    <row r="138" spans="1:9" x14ac:dyDescent="0.3">
      <c r="A138" t="s">
        <v>403</v>
      </c>
      <c r="B138" t="s">
        <v>341</v>
      </c>
      <c r="C138" t="s">
        <v>404</v>
      </c>
      <c r="D138" t="s">
        <v>22</v>
      </c>
      <c r="E138" t="s">
        <v>11</v>
      </c>
      <c r="F138">
        <v>8</v>
      </c>
      <c r="G138" t="s">
        <v>18</v>
      </c>
      <c r="H138" s="4">
        <v>0.7368055555555556</v>
      </c>
      <c r="I138" s="5">
        <v>44181</v>
      </c>
    </row>
    <row r="139" spans="1:9" x14ac:dyDescent="0.3">
      <c r="A139" t="s">
        <v>405</v>
      </c>
      <c r="B139" t="s">
        <v>406</v>
      </c>
      <c r="C139" t="s">
        <v>104</v>
      </c>
      <c r="D139" t="s">
        <v>79</v>
      </c>
      <c r="E139" t="s">
        <v>91</v>
      </c>
      <c r="F139">
        <v>10</v>
      </c>
      <c r="G139" t="s">
        <v>47</v>
      </c>
      <c r="H139" s="4">
        <v>0.47222222222222227</v>
      </c>
      <c r="I139" s="5">
        <v>43888</v>
      </c>
    </row>
    <row r="140" spans="1:9" x14ac:dyDescent="0.3">
      <c r="A140" t="s">
        <v>407</v>
      </c>
      <c r="B140" t="s">
        <v>408</v>
      </c>
      <c r="C140" t="s">
        <v>93</v>
      </c>
      <c r="D140" t="s">
        <v>79</v>
      </c>
      <c r="E140" t="s">
        <v>130</v>
      </c>
      <c r="F140">
        <v>7</v>
      </c>
      <c r="G140" t="s">
        <v>18</v>
      </c>
      <c r="H140" s="4">
        <v>0.91736111111111107</v>
      </c>
      <c r="I140" s="5">
        <v>44095</v>
      </c>
    </row>
    <row r="141" spans="1:9" x14ac:dyDescent="0.3">
      <c r="A141" t="s">
        <v>409</v>
      </c>
      <c r="B141" t="s">
        <v>410</v>
      </c>
      <c r="C141" t="s">
        <v>411</v>
      </c>
      <c r="D141" t="s">
        <v>51</v>
      </c>
      <c r="E141" t="s">
        <v>64</v>
      </c>
      <c r="F141">
        <v>7</v>
      </c>
      <c r="G141" t="s">
        <v>47</v>
      </c>
      <c r="H141" s="4">
        <v>0.43611111111111112</v>
      </c>
      <c r="I141" s="5">
        <v>43850</v>
      </c>
    </row>
    <row r="142" spans="1:9" x14ac:dyDescent="0.3">
      <c r="A142" t="s">
        <v>412</v>
      </c>
      <c r="B142" t="s">
        <v>266</v>
      </c>
      <c r="C142" t="s">
        <v>413</v>
      </c>
      <c r="D142" t="s">
        <v>10</v>
      </c>
      <c r="E142" t="s">
        <v>64</v>
      </c>
      <c r="F142">
        <v>6</v>
      </c>
      <c r="G142" t="s">
        <v>18</v>
      </c>
      <c r="H142" s="4">
        <v>0.68541666666666667</v>
      </c>
      <c r="I142" s="5">
        <v>44163</v>
      </c>
    </row>
    <row r="143" spans="1:9" x14ac:dyDescent="0.3">
      <c r="A143" t="s">
        <v>414</v>
      </c>
      <c r="B143" t="s">
        <v>415</v>
      </c>
      <c r="C143" t="s">
        <v>416</v>
      </c>
      <c r="D143" t="s">
        <v>76</v>
      </c>
      <c r="E143" t="s">
        <v>80</v>
      </c>
      <c r="F143">
        <v>7</v>
      </c>
      <c r="G143" t="s">
        <v>47</v>
      </c>
      <c r="H143" s="4">
        <v>0.80833333333333324</v>
      </c>
      <c r="I143" s="5">
        <v>43998</v>
      </c>
    </row>
    <row r="144" spans="1:9" x14ac:dyDescent="0.3">
      <c r="A144" t="s">
        <v>417</v>
      </c>
      <c r="B144" t="s">
        <v>418</v>
      </c>
      <c r="C144" t="s">
        <v>419</v>
      </c>
      <c r="D144" t="s">
        <v>51</v>
      </c>
      <c r="E144" t="s">
        <v>105</v>
      </c>
      <c r="F144">
        <v>5</v>
      </c>
      <c r="G144" t="s">
        <v>47</v>
      </c>
      <c r="H144" s="4">
        <v>0.92152777777777783</v>
      </c>
      <c r="I144" s="5">
        <v>43847</v>
      </c>
    </row>
    <row r="145" spans="1:9" x14ac:dyDescent="0.3">
      <c r="A145" t="s">
        <v>420</v>
      </c>
      <c r="B145" t="s">
        <v>421</v>
      </c>
      <c r="C145" t="s">
        <v>422</v>
      </c>
      <c r="D145" t="s">
        <v>31</v>
      </c>
      <c r="E145" t="s">
        <v>11</v>
      </c>
      <c r="F145">
        <v>8</v>
      </c>
      <c r="G145" t="s">
        <v>47</v>
      </c>
      <c r="H145" s="4">
        <v>0.95486111111111116</v>
      </c>
      <c r="I145" s="5">
        <v>44008</v>
      </c>
    </row>
    <row r="146" spans="1:9" x14ac:dyDescent="0.3">
      <c r="A146" t="s">
        <v>423</v>
      </c>
      <c r="B146" t="s">
        <v>176</v>
      </c>
      <c r="C146" t="s">
        <v>424</v>
      </c>
      <c r="D146" t="s">
        <v>51</v>
      </c>
      <c r="E146" t="s">
        <v>11</v>
      </c>
      <c r="F146">
        <v>8</v>
      </c>
      <c r="G146" t="s">
        <v>18</v>
      </c>
      <c r="H146" s="4">
        <v>0.7368055555555556</v>
      </c>
      <c r="I146" s="5">
        <v>44191</v>
      </c>
    </row>
    <row r="147" spans="1:9" x14ac:dyDescent="0.3">
      <c r="A147" t="s">
        <v>425</v>
      </c>
      <c r="B147" t="s">
        <v>426</v>
      </c>
      <c r="C147" t="s">
        <v>427</v>
      </c>
      <c r="D147" t="s">
        <v>76</v>
      </c>
      <c r="E147" t="s">
        <v>23</v>
      </c>
      <c r="F147">
        <v>4</v>
      </c>
      <c r="G147" t="s">
        <v>47</v>
      </c>
      <c r="H147" s="4">
        <v>0.47222222222222227</v>
      </c>
      <c r="I147" s="5">
        <v>43949</v>
      </c>
    </row>
    <row r="148" spans="1:9" x14ac:dyDescent="0.3">
      <c r="A148" t="s">
        <v>428</v>
      </c>
      <c r="B148" t="s">
        <v>207</v>
      </c>
      <c r="C148" t="s">
        <v>429</v>
      </c>
      <c r="D148" t="s">
        <v>16</v>
      </c>
      <c r="E148" t="s">
        <v>36</v>
      </c>
      <c r="F148">
        <v>8</v>
      </c>
      <c r="G148" t="s">
        <v>47</v>
      </c>
      <c r="H148" s="4">
        <v>0.91736111111111107</v>
      </c>
      <c r="I148" s="5">
        <v>43997</v>
      </c>
    </row>
    <row r="149" spans="1:9" x14ac:dyDescent="0.3">
      <c r="A149" t="s">
        <v>430</v>
      </c>
      <c r="B149" t="s">
        <v>431</v>
      </c>
      <c r="C149" t="s">
        <v>432</v>
      </c>
      <c r="D149" t="s">
        <v>22</v>
      </c>
      <c r="E149" t="s">
        <v>27</v>
      </c>
      <c r="F149">
        <v>9</v>
      </c>
      <c r="G149" t="s">
        <v>18</v>
      </c>
      <c r="H149" s="4">
        <v>0.43611111111111112</v>
      </c>
      <c r="I149" s="5">
        <v>44142</v>
      </c>
    </row>
    <row r="150" spans="1:9" x14ac:dyDescent="0.3">
      <c r="A150" t="s">
        <v>433</v>
      </c>
      <c r="B150" t="s">
        <v>212</v>
      </c>
      <c r="C150" t="s">
        <v>434</v>
      </c>
      <c r="D150" t="s">
        <v>79</v>
      </c>
      <c r="E150" t="s">
        <v>84</v>
      </c>
      <c r="F150">
        <v>9</v>
      </c>
      <c r="G150" t="s">
        <v>18</v>
      </c>
      <c r="H150" s="4">
        <v>0.68541666666666667</v>
      </c>
      <c r="I150" s="5">
        <v>43881</v>
      </c>
    </row>
    <row r="151" spans="1:9" x14ac:dyDescent="0.3">
      <c r="A151" t="s">
        <v>435</v>
      </c>
      <c r="B151" t="s">
        <v>436</v>
      </c>
      <c r="C151" t="s">
        <v>205</v>
      </c>
      <c r="D151" t="s">
        <v>22</v>
      </c>
      <c r="E151" t="s">
        <v>27</v>
      </c>
      <c r="F151">
        <v>6</v>
      </c>
      <c r="G151" t="s">
        <v>47</v>
      </c>
      <c r="H151" s="4">
        <v>0.80833333333333324</v>
      </c>
      <c r="I151" s="5">
        <v>43974</v>
      </c>
    </row>
    <row r="152" spans="1:9" x14ac:dyDescent="0.3">
      <c r="A152" t="s">
        <v>437</v>
      </c>
      <c r="B152" t="s">
        <v>315</v>
      </c>
      <c r="C152" t="s">
        <v>438</v>
      </c>
      <c r="D152" t="s">
        <v>68</v>
      </c>
      <c r="E152" t="s">
        <v>64</v>
      </c>
      <c r="F152">
        <v>7</v>
      </c>
      <c r="G152" t="s">
        <v>47</v>
      </c>
      <c r="H152" s="4">
        <v>0.92152777777777783</v>
      </c>
      <c r="I152" s="5">
        <v>43963</v>
      </c>
    </row>
    <row r="153" spans="1:9" x14ac:dyDescent="0.3">
      <c r="A153" t="s">
        <v>439</v>
      </c>
      <c r="B153" t="s">
        <v>440</v>
      </c>
      <c r="C153" t="s">
        <v>441</v>
      </c>
      <c r="D153" t="s">
        <v>76</v>
      </c>
      <c r="E153" t="s">
        <v>32</v>
      </c>
      <c r="F153">
        <v>9</v>
      </c>
      <c r="G153" t="s">
        <v>47</v>
      </c>
      <c r="H153" s="4">
        <v>0.95486111111111116</v>
      </c>
      <c r="I153" s="5">
        <v>43970</v>
      </c>
    </row>
    <row r="154" spans="1:9" x14ac:dyDescent="0.3">
      <c r="A154" t="s">
        <v>442</v>
      </c>
      <c r="B154" t="s">
        <v>443</v>
      </c>
      <c r="C154" t="s">
        <v>444</v>
      </c>
      <c r="D154" t="s">
        <v>51</v>
      </c>
      <c r="E154" t="s">
        <v>80</v>
      </c>
      <c r="F154">
        <v>8</v>
      </c>
      <c r="G154" t="s">
        <v>47</v>
      </c>
      <c r="H154" s="4">
        <v>0.7368055555555556</v>
      </c>
      <c r="I154" s="5">
        <v>43999</v>
      </c>
    </row>
    <row r="155" spans="1:9" x14ac:dyDescent="0.3">
      <c r="A155" t="s">
        <v>445</v>
      </c>
      <c r="B155" t="s">
        <v>446</v>
      </c>
      <c r="C155" t="s">
        <v>319</v>
      </c>
      <c r="D155" t="s">
        <v>10</v>
      </c>
      <c r="E155" t="s">
        <v>23</v>
      </c>
      <c r="F155">
        <v>6</v>
      </c>
      <c r="G155" t="s">
        <v>18</v>
      </c>
      <c r="H155" s="4">
        <v>0.47222222222222227</v>
      </c>
      <c r="I155" s="5">
        <v>43952</v>
      </c>
    </row>
    <row r="156" spans="1:9" x14ac:dyDescent="0.3">
      <c r="A156" t="s">
        <v>447</v>
      </c>
      <c r="B156" t="s">
        <v>448</v>
      </c>
      <c r="C156" t="s">
        <v>449</v>
      </c>
      <c r="D156" t="s">
        <v>51</v>
      </c>
      <c r="E156" t="s">
        <v>80</v>
      </c>
      <c r="F156">
        <v>4</v>
      </c>
      <c r="G156" t="s">
        <v>12</v>
      </c>
      <c r="H156" s="4">
        <v>0.91736111111111107</v>
      </c>
      <c r="I156" s="5">
        <v>44099</v>
      </c>
    </row>
    <row r="157" spans="1:9" x14ac:dyDescent="0.3">
      <c r="A157" t="s">
        <v>450</v>
      </c>
      <c r="B157" t="s">
        <v>451</v>
      </c>
      <c r="C157" t="s">
        <v>452</v>
      </c>
      <c r="D157" t="s">
        <v>22</v>
      </c>
      <c r="E157" t="s">
        <v>36</v>
      </c>
      <c r="F157">
        <v>9</v>
      </c>
      <c r="G157" t="s">
        <v>18</v>
      </c>
      <c r="H157" s="4">
        <v>0.43611111111111112</v>
      </c>
      <c r="I157" s="5">
        <v>44191</v>
      </c>
    </row>
    <row r="158" spans="1:9" x14ac:dyDescent="0.3">
      <c r="A158" t="s">
        <v>453</v>
      </c>
      <c r="B158" t="s">
        <v>454</v>
      </c>
      <c r="C158" t="s">
        <v>455</v>
      </c>
      <c r="D158" t="s">
        <v>68</v>
      </c>
      <c r="E158" t="s">
        <v>23</v>
      </c>
      <c r="F158">
        <v>5</v>
      </c>
      <c r="G158" t="s">
        <v>47</v>
      </c>
      <c r="H158" s="4">
        <v>0.68541666666666667</v>
      </c>
      <c r="I158" s="5">
        <v>44141</v>
      </c>
    </row>
    <row r="159" spans="1:9" x14ac:dyDescent="0.3">
      <c r="A159" t="s">
        <v>456</v>
      </c>
      <c r="B159" t="s">
        <v>8</v>
      </c>
      <c r="C159" t="s">
        <v>319</v>
      </c>
      <c r="D159" t="s">
        <v>16</v>
      </c>
      <c r="E159" t="s">
        <v>91</v>
      </c>
      <c r="F159">
        <v>7</v>
      </c>
      <c r="G159" t="s">
        <v>47</v>
      </c>
      <c r="H159" s="4">
        <v>0.80833333333333324</v>
      </c>
      <c r="I159" s="5">
        <v>44119</v>
      </c>
    </row>
    <row r="160" spans="1:9" x14ac:dyDescent="0.3">
      <c r="A160" t="s">
        <v>457</v>
      </c>
      <c r="B160" t="s">
        <v>458</v>
      </c>
      <c r="C160" t="s">
        <v>459</v>
      </c>
      <c r="D160" t="s">
        <v>22</v>
      </c>
      <c r="E160" t="s">
        <v>40</v>
      </c>
      <c r="F160">
        <v>10</v>
      </c>
      <c r="G160" t="s">
        <v>12</v>
      </c>
      <c r="H160" s="4">
        <v>0.92152777777777783</v>
      </c>
      <c r="I160" s="5">
        <v>44033</v>
      </c>
    </row>
    <row r="161" spans="1:9" x14ac:dyDescent="0.3">
      <c r="A161" t="s">
        <v>460</v>
      </c>
      <c r="B161" t="s">
        <v>128</v>
      </c>
      <c r="C161" t="s">
        <v>461</v>
      </c>
      <c r="D161" t="s">
        <v>51</v>
      </c>
      <c r="E161" t="s">
        <v>32</v>
      </c>
      <c r="F161">
        <v>9</v>
      </c>
      <c r="G161" t="s">
        <v>47</v>
      </c>
      <c r="H161" s="4">
        <v>0.95486111111111116</v>
      </c>
      <c r="I161" s="5">
        <v>44160</v>
      </c>
    </row>
    <row r="162" spans="1:9" x14ac:dyDescent="0.3">
      <c r="A162" t="s">
        <v>462</v>
      </c>
      <c r="B162" t="s">
        <v>426</v>
      </c>
      <c r="C162" t="s">
        <v>463</v>
      </c>
      <c r="D162" t="s">
        <v>79</v>
      </c>
      <c r="E162" t="s">
        <v>36</v>
      </c>
      <c r="F162">
        <v>3</v>
      </c>
      <c r="G162" t="s">
        <v>47</v>
      </c>
      <c r="H162" s="4">
        <v>0.7368055555555556</v>
      </c>
      <c r="I162" s="5">
        <v>44167</v>
      </c>
    </row>
    <row r="163" spans="1:9" x14ac:dyDescent="0.3">
      <c r="A163" t="s">
        <v>464</v>
      </c>
      <c r="B163" t="s">
        <v>321</v>
      </c>
      <c r="C163" t="s">
        <v>465</v>
      </c>
      <c r="D163" t="s">
        <v>31</v>
      </c>
      <c r="E163" t="s">
        <v>36</v>
      </c>
      <c r="F163">
        <v>6</v>
      </c>
      <c r="G163" t="s">
        <v>18</v>
      </c>
      <c r="H163" s="4">
        <v>0.47222222222222227</v>
      </c>
      <c r="I163" s="5">
        <v>44019</v>
      </c>
    </row>
    <row r="164" spans="1:9" x14ac:dyDescent="0.3">
      <c r="A164" t="s">
        <v>466</v>
      </c>
      <c r="B164" t="s">
        <v>467</v>
      </c>
      <c r="C164" t="s">
        <v>468</v>
      </c>
      <c r="D164" t="s">
        <v>79</v>
      </c>
      <c r="E164" t="s">
        <v>17</v>
      </c>
      <c r="F164">
        <v>6</v>
      </c>
      <c r="G164" t="s">
        <v>47</v>
      </c>
      <c r="H164" s="4">
        <v>0.91736111111111107</v>
      </c>
      <c r="I164" s="5">
        <v>43968</v>
      </c>
    </row>
    <row r="165" spans="1:9" x14ac:dyDescent="0.3">
      <c r="A165" t="s">
        <v>469</v>
      </c>
      <c r="B165" t="s">
        <v>470</v>
      </c>
      <c r="C165" t="s">
        <v>471</v>
      </c>
      <c r="D165" t="s">
        <v>76</v>
      </c>
      <c r="E165" t="s">
        <v>105</v>
      </c>
      <c r="F165">
        <v>5</v>
      </c>
      <c r="G165" t="s">
        <v>47</v>
      </c>
      <c r="H165" s="4">
        <v>0.43611111111111112</v>
      </c>
      <c r="I165" s="5">
        <v>43936</v>
      </c>
    </row>
    <row r="166" spans="1:9" x14ac:dyDescent="0.3">
      <c r="A166" t="s">
        <v>472</v>
      </c>
      <c r="B166" t="s">
        <v>473</v>
      </c>
      <c r="C166" t="s">
        <v>474</v>
      </c>
      <c r="D166" t="s">
        <v>68</v>
      </c>
      <c r="E166" t="s">
        <v>80</v>
      </c>
      <c r="F166">
        <v>4</v>
      </c>
      <c r="G166" t="s">
        <v>47</v>
      </c>
      <c r="H166" s="4">
        <v>0.68541666666666667</v>
      </c>
      <c r="I166" s="5">
        <v>44088</v>
      </c>
    </row>
    <row r="167" spans="1:9" x14ac:dyDescent="0.3">
      <c r="A167" t="s">
        <v>475</v>
      </c>
      <c r="B167" t="s">
        <v>415</v>
      </c>
      <c r="C167" t="s">
        <v>476</v>
      </c>
      <c r="D167" t="s">
        <v>10</v>
      </c>
      <c r="E167" t="s">
        <v>11</v>
      </c>
      <c r="F167">
        <v>6</v>
      </c>
      <c r="G167" t="s">
        <v>47</v>
      </c>
      <c r="H167" s="4">
        <v>0.80833333333333324</v>
      </c>
      <c r="I167" s="5">
        <v>44105</v>
      </c>
    </row>
    <row r="168" spans="1:9" x14ac:dyDescent="0.3">
      <c r="A168" t="s">
        <v>477</v>
      </c>
      <c r="B168" t="s">
        <v>478</v>
      </c>
      <c r="C168" t="s">
        <v>104</v>
      </c>
      <c r="D168" t="s">
        <v>51</v>
      </c>
      <c r="E168" t="s">
        <v>80</v>
      </c>
      <c r="F168">
        <v>8</v>
      </c>
      <c r="G168" t="s">
        <v>18</v>
      </c>
      <c r="H168" s="4">
        <v>0.92152777777777783</v>
      </c>
      <c r="I168" s="5">
        <v>43970</v>
      </c>
    </row>
    <row r="169" spans="1:9" x14ac:dyDescent="0.3">
      <c r="A169" t="s">
        <v>479</v>
      </c>
      <c r="B169" t="s">
        <v>150</v>
      </c>
      <c r="C169" t="s">
        <v>480</v>
      </c>
      <c r="D169" t="s">
        <v>51</v>
      </c>
      <c r="E169" t="s">
        <v>11</v>
      </c>
      <c r="F169">
        <v>7</v>
      </c>
      <c r="G169" t="s">
        <v>18</v>
      </c>
      <c r="H169" s="4">
        <v>0.95486111111111116</v>
      </c>
      <c r="I169" s="5">
        <v>43911</v>
      </c>
    </row>
    <row r="170" spans="1:9" x14ac:dyDescent="0.3">
      <c r="A170" t="s">
        <v>481</v>
      </c>
      <c r="B170" t="s">
        <v>482</v>
      </c>
      <c r="C170" t="s">
        <v>483</v>
      </c>
      <c r="D170" t="s">
        <v>22</v>
      </c>
      <c r="E170" t="s">
        <v>32</v>
      </c>
      <c r="F170">
        <v>6</v>
      </c>
      <c r="G170" t="s">
        <v>47</v>
      </c>
      <c r="H170" s="4">
        <v>0.7368055555555556</v>
      </c>
      <c r="I170" s="5">
        <v>43843</v>
      </c>
    </row>
    <row r="171" spans="1:9" x14ac:dyDescent="0.3">
      <c r="A171" t="s">
        <v>484</v>
      </c>
      <c r="B171" t="s">
        <v>485</v>
      </c>
      <c r="C171" t="s">
        <v>486</v>
      </c>
      <c r="D171" t="s">
        <v>79</v>
      </c>
      <c r="E171" t="s">
        <v>80</v>
      </c>
      <c r="F171">
        <v>5</v>
      </c>
      <c r="G171" t="s">
        <v>47</v>
      </c>
      <c r="H171" s="4">
        <v>0.47222222222222227</v>
      </c>
      <c r="I171" s="5">
        <v>44187</v>
      </c>
    </row>
    <row r="172" spans="1:9" x14ac:dyDescent="0.3">
      <c r="A172" t="s">
        <v>487</v>
      </c>
      <c r="B172" t="s">
        <v>266</v>
      </c>
      <c r="C172" t="s">
        <v>488</v>
      </c>
      <c r="D172" t="s">
        <v>76</v>
      </c>
      <c r="E172" t="s">
        <v>69</v>
      </c>
      <c r="F172">
        <v>10</v>
      </c>
      <c r="G172" t="s">
        <v>47</v>
      </c>
      <c r="H172" s="4">
        <v>0.91736111111111107</v>
      </c>
      <c r="I172" s="5">
        <v>43873</v>
      </c>
    </row>
    <row r="173" spans="1:9" x14ac:dyDescent="0.3">
      <c r="A173" t="s">
        <v>489</v>
      </c>
      <c r="B173" t="s">
        <v>490</v>
      </c>
      <c r="C173" t="s">
        <v>491</v>
      </c>
      <c r="D173" t="s">
        <v>31</v>
      </c>
      <c r="E173" t="s">
        <v>36</v>
      </c>
      <c r="F173">
        <v>10</v>
      </c>
      <c r="G173" t="s">
        <v>47</v>
      </c>
      <c r="H173" s="4">
        <v>0.43611111111111112</v>
      </c>
      <c r="I173" s="5">
        <v>44105</v>
      </c>
    </row>
    <row r="174" spans="1:9" x14ac:dyDescent="0.3">
      <c r="A174" t="s">
        <v>492</v>
      </c>
      <c r="B174" t="s">
        <v>493</v>
      </c>
      <c r="C174" t="s">
        <v>494</v>
      </c>
      <c r="D174" t="s">
        <v>31</v>
      </c>
      <c r="E174" t="s">
        <v>84</v>
      </c>
      <c r="F174">
        <v>6</v>
      </c>
      <c r="G174" t="s">
        <v>18</v>
      </c>
      <c r="H174" s="4">
        <v>0.68541666666666667</v>
      </c>
      <c r="I174" s="5">
        <v>44033</v>
      </c>
    </row>
    <row r="175" spans="1:9" x14ac:dyDescent="0.3">
      <c r="A175" t="s">
        <v>495</v>
      </c>
      <c r="B175" t="s">
        <v>496</v>
      </c>
      <c r="C175" t="s">
        <v>497</v>
      </c>
      <c r="D175" t="s">
        <v>68</v>
      </c>
      <c r="E175" t="s">
        <v>23</v>
      </c>
      <c r="F175">
        <v>5</v>
      </c>
      <c r="G175" t="s">
        <v>18</v>
      </c>
      <c r="H175" s="4">
        <v>0.80833333333333324</v>
      </c>
      <c r="I175" s="5">
        <v>43887</v>
      </c>
    </row>
    <row r="176" spans="1:9" x14ac:dyDescent="0.3">
      <c r="A176" t="s">
        <v>498</v>
      </c>
      <c r="B176" t="s">
        <v>499</v>
      </c>
      <c r="C176" t="s">
        <v>500</v>
      </c>
      <c r="D176" t="s">
        <v>51</v>
      </c>
      <c r="E176" t="s">
        <v>80</v>
      </c>
      <c r="F176">
        <v>5</v>
      </c>
      <c r="G176" t="s">
        <v>47</v>
      </c>
      <c r="H176" s="4">
        <v>0.92152777777777783</v>
      </c>
      <c r="I176" s="5">
        <v>43835</v>
      </c>
    </row>
    <row r="177" spans="1:9" x14ac:dyDescent="0.3">
      <c r="A177" t="s">
        <v>501</v>
      </c>
      <c r="B177" t="s">
        <v>471</v>
      </c>
      <c r="C177" t="s">
        <v>502</v>
      </c>
      <c r="D177" t="s">
        <v>16</v>
      </c>
      <c r="E177" t="s">
        <v>32</v>
      </c>
      <c r="F177">
        <v>9</v>
      </c>
      <c r="G177" t="s">
        <v>47</v>
      </c>
      <c r="H177" s="4">
        <v>0.95486111111111116</v>
      </c>
      <c r="I177" s="5">
        <v>44100</v>
      </c>
    </row>
    <row r="178" spans="1:9" x14ac:dyDescent="0.3">
      <c r="A178" t="s">
        <v>503</v>
      </c>
      <c r="B178" t="s">
        <v>135</v>
      </c>
      <c r="C178" t="s">
        <v>504</v>
      </c>
      <c r="D178" t="s">
        <v>51</v>
      </c>
      <c r="E178" t="s">
        <v>69</v>
      </c>
      <c r="F178">
        <v>5</v>
      </c>
      <c r="G178" t="s">
        <v>47</v>
      </c>
      <c r="H178" s="4">
        <v>0.7368055555555556</v>
      </c>
      <c r="I178" s="5">
        <v>44181</v>
      </c>
    </row>
    <row r="179" spans="1:9" x14ac:dyDescent="0.3">
      <c r="A179" t="s">
        <v>505</v>
      </c>
      <c r="B179" t="s">
        <v>506</v>
      </c>
      <c r="C179" t="s">
        <v>507</v>
      </c>
      <c r="D179" t="s">
        <v>16</v>
      </c>
      <c r="E179" t="s">
        <v>64</v>
      </c>
      <c r="F179">
        <v>10</v>
      </c>
      <c r="G179" t="s">
        <v>47</v>
      </c>
      <c r="H179" s="4">
        <v>0.47222222222222227</v>
      </c>
      <c r="I179" s="5">
        <v>43956</v>
      </c>
    </row>
    <row r="180" spans="1:9" x14ac:dyDescent="0.3">
      <c r="A180" t="s">
        <v>508</v>
      </c>
      <c r="B180" t="s">
        <v>349</v>
      </c>
      <c r="C180" t="s">
        <v>509</v>
      </c>
      <c r="D180" t="s">
        <v>16</v>
      </c>
      <c r="E180" t="s">
        <v>32</v>
      </c>
      <c r="F180">
        <v>7</v>
      </c>
      <c r="G180" t="s">
        <v>47</v>
      </c>
      <c r="H180" s="4">
        <v>0.91736111111111107</v>
      </c>
      <c r="I180" s="5">
        <v>43928</v>
      </c>
    </row>
    <row r="181" spans="1:9" x14ac:dyDescent="0.3">
      <c r="A181" t="s">
        <v>510</v>
      </c>
      <c r="B181" t="s">
        <v>511</v>
      </c>
      <c r="C181" t="s">
        <v>512</v>
      </c>
      <c r="D181" t="s">
        <v>68</v>
      </c>
      <c r="E181" t="s">
        <v>36</v>
      </c>
      <c r="F181">
        <v>3</v>
      </c>
      <c r="G181" t="s">
        <v>47</v>
      </c>
      <c r="H181" s="4">
        <v>0.43611111111111112</v>
      </c>
      <c r="I181" s="5">
        <v>44148</v>
      </c>
    </row>
    <row r="182" spans="1:9" x14ac:dyDescent="0.3">
      <c r="A182" t="s">
        <v>513</v>
      </c>
      <c r="B182" t="s">
        <v>426</v>
      </c>
      <c r="C182" t="s">
        <v>50</v>
      </c>
      <c r="D182" t="s">
        <v>63</v>
      </c>
      <c r="E182" t="s">
        <v>84</v>
      </c>
      <c r="F182">
        <v>7</v>
      </c>
      <c r="G182" t="s">
        <v>47</v>
      </c>
      <c r="H182" s="4">
        <v>0.68541666666666667</v>
      </c>
      <c r="I182" s="5">
        <v>43840</v>
      </c>
    </row>
    <row r="183" spans="1:9" x14ac:dyDescent="0.3">
      <c r="A183" t="s">
        <v>514</v>
      </c>
      <c r="B183" t="s">
        <v>107</v>
      </c>
      <c r="C183" t="s">
        <v>515</v>
      </c>
      <c r="D183" t="s">
        <v>10</v>
      </c>
      <c r="E183" t="s">
        <v>130</v>
      </c>
      <c r="F183">
        <v>10</v>
      </c>
      <c r="G183" t="s">
        <v>47</v>
      </c>
      <c r="H183" s="4">
        <v>0.80833333333333324</v>
      </c>
      <c r="I183" s="5">
        <v>43857</v>
      </c>
    </row>
    <row r="184" spans="1:9" x14ac:dyDescent="0.3">
      <c r="A184" t="s">
        <v>516</v>
      </c>
      <c r="B184" t="s">
        <v>517</v>
      </c>
      <c r="C184" t="s">
        <v>279</v>
      </c>
      <c r="D184" t="s">
        <v>31</v>
      </c>
      <c r="E184" t="s">
        <v>91</v>
      </c>
      <c r="F184">
        <v>5</v>
      </c>
      <c r="G184" t="s">
        <v>12</v>
      </c>
      <c r="H184" s="4">
        <v>0.92152777777777783</v>
      </c>
      <c r="I184" s="5">
        <v>43907</v>
      </c>
    </row>
    <row r="185" spans="1:9" x14ac:dyDescent="0.3">
      <c r="A185" t="s">
        <v>518</v>
      </c>
      <c r="B185" t="s">
        <v>171</v>
      </c>
      <c r="C185" t="s">
        <v>519</v>
      </c>
      <c r="D185" t="s">
        <v>22</v>
      </c>
      <c r="E185" t="s">
        <v>32</v>
      </c>
      <c r="F185">
        <v>8</v>
      </c>
      <c r="G185" t="s">
        <v>12</v>
      </c>
      <c r="H185" s="4">
        <v>0.95486111111111116</v>
      </c>
      <c r="I185" s="5">
        <v>44106</v>
      </c>
    </row>
    <row r="186" spans="1:9" x14ac:dyDescent="0.3">
      <c r="A186" t="s">
        <v>520</v>
      </c>
      <c r="B186" t="s">
        <v>521</v>
      </c>
      <c r="C186" t="s">
        <v>522</v>
      </c>
      <c r="D186" t="s">
        <v>51</v>
      </c>
      <c r="E186" t="s">
        <v>130</v>
      </c>
      <c r="F186">
        <v>9</v>
      </c>
      <c r="G186" t="s">
        <v>189</v>
      </c>
      <c r="H186" s="4">
        <v>0.7368055555555556</v>
      </c>
      <c r="I186" s="5">
        <v>44168</v>
      </c>
    </row>
    <row r="187" spans="1:9" x14ac:dyDescent="0.3">
      <c r="A187" t="s">
        <v>523</v>
      </c>
      <c r="B187" t="s">
        <v>408</v>
      </c>
      <c r="C187" t="s">
        <v>524</v>
      </c>
      <c r="D187" t="s">
        <v>63</v>
      </c>
      <c r="E187" t="s">
        <v>64</v>
      </c>
      <c r="F187">
        <v>10</v>
      </c>
      <c r="G187" t="s">
        <v>18</v>
      </c>
      <c r="H187" s="4">
        <v>0.47222222222222227</v>
      </c>
      <c r="I187" s="5">
        <v>44098</v>
      </c>
    </row>
    <row r="188" spans="1:9" x14ac:dyDescent="0.3">
      <c r="A188" t="s">
        <v>525</v>
      </c>
      <c r="B188" t="s">
        <v>526</v>
      </c>
      <c r="C188" t="s">
        <v>210</v>
      </c>
      <c r="D188" t="s">
        <v>51</v>
      </c>
      <c r="E188" t="s">
        <v>84</v>
      </c>
      <c r="F188">
        <v>7</v>
      </c>
      <c r="G188" t="s">
        <v>47</v>
      </c>
      <c r="H188" s="4">
        <v>0.91736111111111107</v>
      </c>
      <c r="I188" s="5">
        <v>44092</v>
      </c>
    </row>
    <row r="189" spans="1:9" x14ac:dyDescent="0.3">
      <c r="A189" t="s">
        <v>527</v>
      </c>
      <c r="B189" t="s">
        <v>528</v>
      </c>
      <c r="C189" t="s">
        <v>529</v>
      </c>
      <c r="D189" t="s">
        <v>63</v>
      </c>
      <c r="E189" t="s">
        <v>105</v>
      </c>
      <c r="F189">
        <v>5</v>
      </c>
      <c r="G189" t="s">
        <v>47</v>
      </c>
      <c r="H189" s="4">
        <v>0.43611111111111112</v>
      </c>
      <c r="I189" s="5">
        <v>44064</v>
      </c>
    </row>
    <row r="190" spans="1:9" x14ac:dyDescent="0.3">
      <c r="A190" t="s">
        <v>530</v>
      </c>
      <c r="B190" t="s">
        <v>467</v>
      </c>
      <c r="C190" t="s">
        <v>531</v>
      </c>
      <c r="D190" t="s">
        <v>63</v>
      </c>
      <c r="E190" t="s">
        <v>130</v>
      </c>
      <c r="F190">
        <v>8</v>
      </c>
      <c r="G190" t="s">
        <v>47</v>
      </c>
      <c r="H190" s="4">
        <v>0.68541666666666667</v>
      </c>
      <c r="I190" s="5">
        <v>44130</v>
      </c>
    </row>
    <row r="191" spans="1:9" x14ac:dyDescent="0.3">
      <c r="A191" t="s">
        <v>532</v>
      </c>
      <c r="B191" t="s">
        <v>176</v>
      </c>
      <c r="C191" t="s">
        <v>533</v>
      </c>
      <c r="D191" t="s">
        <v>22</v>
      </c>
      <c r="E191" t="s">
        <v>105</v>
      </c>
      <c r="F191">
        <v>9</v>
      </c>
      <c r="G191" t="s">
        <v>18</v>
      </c>
      <c r="H191" s="4">
        <v>0.80833333333333324</v>
      </c>
      <c r="I191" s="5">
        <v>43886</v>
      </c>
    </row>
    <row r="192" spans="1:9" x14ac:dyDescent="0.3">
      <c r="A192" t="s">
        <v>534</v>
      </c>
      <c r="B192" t="s">
        <v>511</v>
      </c>
      <c r="C192" t="s">
        <v>535</v>
      </c>
      <c r="D192" t="s">
        <v>16</v>
      </c>
      <c r="E192" t="s">
        <v>11</v>
      </c>
      <c r="F192">
        <v>4</v>
      </c>
      <c r="G192" t="s">
        <v>18</v>
      </c>
      <c r="H192" s="4">
        <v>0.92152777777777783</v>
      </c>
      <c r="I192" s="5">
        <v>44162</v>
      </c>
    </row>
    <row r="193" spans="1:9" x14ac:dyDescent="0.3">
      <c r="A193" t="s">
        <v>536</v>
      </c>
      <c r="B193" t="s">
        <v>537</v>
      </c>
      <c r="C193" t="s">
        <v>538</v>
      </c>
      <c r="D193" t="s">
        <v>31</v>
      </c>
      <c r="E193" t="s">
        <v>130</v>
      </c>
      <c r="F193">
        <v>3</v>
      </c>
      <c r="G193" t="s">
        <v>47</v>
      </c>
      <c r="H193" s="4">
        <v>0.95486111111111116</v>
      </c>
      <c r="I193" s="5">
        <v>43986</v>
      </c>
    </row>
    <row r="194" spans="1:9" x14ac:dyDescent="0.3">
      <c r="A194" t="s">
        <v>539</v>
      </c>
      <c r="B194" t="s">
        <v>540</v>
      </c>
      <c r="C194" t="s">
        <v>87</v>
      </c>
      <c r="D194" t="s">
        <v>31</v>
      </c>
      <c r="E194" t="s">
        <v>23</v>
      </c>
      <c r="F194">
        <v>10</v>
      </c>
      <c r="G194" t="s">
        <v>47</v>
      </c>
      <c r="H194" s="4">
        <v>0.7368055555555556</v>
      </c>
      <c r="I194" s="5">
        <v>44064</v>
      </c>
    </row>
    <row r="195" spans="1:9" x14ac:dyDescent="0.3">
      <c r="A195" t="s">
        <v>541</v>
      </c>
      <c r="B195" t="s">
        <v>135</v>
      </c>
      <c r="C195" t="s">
        <v>542</v>
      </c>
      <c r="D195" t="s">
        <v>79</v>
      </c>
      <c r="E195" t="s">
        <v>130</v>
      </c>
      <c r="F195">
        <v>5</v>
      </c>
      <c r="G195" t="s">
        <v>18</v>
      </c>
      <c r="H195" s="4">
        <v>0.47222222222222227</v>
      </c>
      <c r="I195" s="5">
        <v>43930</v>
      </c>
    </row>
    <row r="196" spans="1:9" x14ac:dyDescent="0.3">
      <c r="A196" t="s">
        <v>543</v>
      </c>
      <c r="B196" t="s">
        <v>544</v>
      </c>
      <c r="C196" t="s">
        <v>339</v>
      </c>
      <c r="D196" t="s">
        <v>31</v>
      </c>
      <c r="E196" t="s">
        <v>105</v>
      </c>
      <c r="F196">
        <v>10</v>
      </c>
      <c r="G196" t="s">
        <v>18</v>
      </c>
      <c r="H196" s="4">
        <v>0.91736111111111107</v>
      </c>
      <c r="I196" s="5">
        <v>44084</v>
      </c>
    </row>
    <row r="197" spans="1:9" x14ac:dyDescent="0.3">
      <c r="A197" t="s">
        <v>545</v>
      </c>
      <c r="B197" t="s">
        <v>436</v>
      </c>
      <c r="C197" t="s">
        <v>546</v>
      </c>
      <c r="D197" t="s">
        <v>10</v>
      </c>
      <c r="E197" t="s">
        <v>69</v>
      </c>
      <c r="F197">
        <v>4</v>
      </c>
      <c r="G197" t="s">
        <v>12</v>
      </c>
      <c r="H197" s="4">
        <v>0.43611111111111112</v>
      </c>
      <c r="I197" s="5">
        <v>43841</v>
      </c>
    </row>
    <row r="198" spans="1:9" x14ac:dyDescent="0.3">
      <c r="A198" t="s">
        <v>547</v>
      </c>
      <c r="B198" t="s">
        <v>548</v>
      </c>
      <c r="C198" t="s">
        <v>444</v>
      </c>
      <c r="D198" t="s">
        <v>51</v>
      </c>
      <c r="E198" t="s">
        <v>23</v>
      </c>
      <c r="F198">
        <v>8</v>
      </c>
      <c r="G198" t="s">
        <v>47</v>
      </c>
      <c r="H198" s="4">
        <v>0.68541666666666667</v>
      </c>
      <c r="I198" s="5">
        <v>43838</v>
      </c>
    </row>
    <row r="199" spans="1:9" x14ac:dyDescent="0.3">
      <c r="A199" t="s">
        <v>549</v>
      </c>
      <c r="B199" t="s">
        <v>550</v>
      </c>
      <c r="C199" t="s">
        <v>313</v>
      </c>
      <c r="D199" t="s">
        <v>10</v>
      </c>
      <c r="E199" t="s">
        <v>36</v>
      </c>
      <c r="F199">
        <v>5</v>
      </c>
      <c r="G199" t="s">
        <v>18</v>
      </c>
      <c r="H199" s="4">
        <v>0.80833333333333324</v>
      </c>
      <c r="I199" s="5">
        <v>43911</v>
      </c>
    </row>
    <row r="200" spans="1:9" x14ac:dyDescent="0.3">
      <c r="A200" t="s">
        <v>551</v>
      </c>
      <c r="B200" t="s">
        <v>552</v>
      </c>
      <c r="C200" t="s">
        <v>129</v>
      </c>
      <c r="D200" t="s">
        <v>79</v>
      </c>
      <c r="E200" t="s">
        <v>130</v>
      </c>
      <c r="F200">
        <v>8</v>
      </c>
      <c r="G200" t="s">
        <v>12</v>
      </c>
      <c r="H200" s="4">
        <v>0.92152777777777783</v>
      </c>
      <c r="I200" s="5">
        <v>43885</v>
      </c>
    </row>
    <row r="201" spans="1:9" x14ac:dyDescent="0.3">
      <c r="A201" t="s">
        <v>553</v>
      </c>
      <c r="B201" t="s">
        <v>554</v>
      </c>
      <c r="C201" t="s">
        <v>555</v>
      </c>
      <c r="D201" t="s">
        <v>16</v>
      </c>
      <c r="E201" t="s">
        <v>27</v>
      </c>
      <c r="F201">
        <v>8</v>
      </c>
      <c r="G201" t="s">
        <v>12</v>
      </c>
      <c r="H201" s="4">
        <v>0.95486111111111116</v>
      </c>
      <c r="I201" s="5">
        <v>44035</v>
      </c>
    </row>
    <row r="202" spans="1:9" x14ac:dyDescent="0.3">
      <c r="A202" t="s">
        <v>556</v>
      </c>
      <c r="B202" t="s">
        <v>103</v>
      </c>
      <c r="C202" t="s">
        <v>557</v>
      </c>
      <c r="D202" t="s">
        <v>22</v>
      </c>
      <c r="E202" t="s">
        <v>27</v>
      </c>
      <c r="F202">
        <v>4</v>
      </c>
      <c r="G202" t="s">
        <v>12</v>
      </c>
      <c r="H202" s="4">
        <v>0.7368055555555556</v>
      </c>
      <c r="I202" s="5">
        <v>43874</v>
      </c>
    </row>
    <row r="203" spans="1:9" x14ac:dyDescent="0.3">
      <c r="A203" t="s">
        <v>558</v>
      </c>
      <c r="B203" t="s">
        <v>559</v>
      </c>
      <c r="C203" t="s">
        <v>560</v>
      </c>
      <c r="D203" t="s">
        <v>79</v>
      </c>
      <c r="E203" t="s">
        <v>40</v>
      </c>
      <c r="F203">
        <v>4</v>
      </c>
      <c r="G203" t="s">
        <v>47</v>
      </c>
      <c r="H203" s="4">
        <v>0.47222222222222227</v>
      </c>
      <c r="I203" s="5">
        <v>44039</v>
      </c>
    </row>
    <row r="204" spans="1:9" x14ac:dyDescent="0.3">
      <c r="A204" t="s">
        <v>561</v>
      </c>
      <c r="B204" t="s">
        <v>8</v>
      </c>
      <c r="C204" t="s">
        <v>562</v>
      </c>
      <c r="D204" t="s">
        <v>22</v>
      </c>
      <c r="E204" t="s">
        <v>36</v>
      </c>
      <c r="F204">
        <v>7</v>
      </c>
      <c r="G204" t="s">
        <v>12</v>
      </c>
      <c r="H204" s="4">
        <v>0.91736111111111107</v>
      </c>
      <c r="I204" s="5">
        <v>44099</v>
      </c>
    </row>
    <row r="205" spans="1:9" x14ac:dyDescent="0.3">
      <c r="A205" t="s">
        <v>563</v>
      </c>
      <c r="B205" t="s">
        <v>285</v>
      </c>
      <c r="C205" t="s">
        <v>15</v>
      </c>
      <c r="D205" t="s">
        <v>68</v>
      </c>
      <c r="E205" t="s">
        <v>105</v>
      </c>
      <c r="F205">
        <v>7</v>
      </c>
      <c r="G205" t="s">
        <v>12</v>
      </c>
      <c r="H205" s="4">
        <v>0.43611111111111112</v>
      </c>
      <c r="I205" s="5">
        <v>43977</v>
      </c>
    </row>
    <row r="206" spans="1:9" x14ac:dyDescent="0.3">
      <c r="A206" t="s">
        <v>564</v>
      </c>
      <c r="B206" t="s">
        <v>315</v>
      </c>
      <c r="C206" t="s">
        <v>565</v>
      </c>
      <c r="D206" t="s">
        <v>51</v>
      </c>
      <c r="E206" t="s">
        <v>17</v>
      </c>
      <c r="F206">
        <v>5</v>
      </c>
      <c r="G206" t="s">
        <v>47</v>
      </c>
      <c r="H206" s="4">
        <v>0.68541666666666667</v>
      </c>
      <c r="I206" s="5">
        <v>43960</v>
      </c>
    </row>
    <row r="207" spans="1:9" x14ac:dyDescent="0.3">
      <c r="A207" t="s">
        <v>566</v>
      </c>
      <c r="B207" t="s">
        <v>349</v>
      </c>
      <c r="C207" t="s">
        <v>567</v>
      </c>
      <c r="D207" t="s">
        <v>68</v>
      </c>
      <c r="E207" t="s">
        <v>36</v>
      </c>
      <c r="F207">
        <v>8</v>
      </c>
      <c r="G207" t="s">
        <v>47</v>
      </c>
      <c r="H207" s="4">
        <v>0.80833333333333324</v>
      </c>
      <c r="I207" s="5">
        <v>43990</v>
      </c>
    </row>
    <row r="208" spans="1:9" x14ac:dyDescent="0.3">
      <c r="A208" t="s">
        <v>568</v>
      </c>
      <c r="B208" t="s">
        <v>554</v>
      </c>
      <c r="C208" t="s">
        <v>569</v>
      </c>
      <c r="D208" t="s">
        <v>10</v>
      </c>
      <c r="E208" t="s">
        <v>105</v>
      </c>
      <c r="F208">
        <v>5</v>
      </c>
      <c r="G208" t="s">
        <v>12</v>
      </c>
      <c r="H208" s="4">
        <v>0.92152777777777783</v>
      </c>
      <c r="I208" s="5">
        <v>44005</v>
      </c>
    </row>
    <row r="209" spans="1:9" x14ac:dyDescent="0.3">
      <c r="A209" t="s">
        <v>570</v>
      </c>
      <c r="B209" t="s">
        <v>571</v>
      </c>
      <c r="C209" t="s">
        <v>572</v>
      </c>
      <c r="D209" t="s">
        <v>31</v>
      </c>
      <c r="E209" t="s">
        <v>130</v>
      </c>
      <c r="F209">
        <v>9</v>
      </c>
      <c r="G209" t="s">
        <v>47</v>
      </c>
      <c r="H209" s="4">
        <v>0.95486111111111116</v>
      </c>
      <c r="I209" s="5">
        <v>43988</v>
      </c>
    </row>
    <row r="210" spans="1:9" x14ac:dyDescent="0.3">
      <c r="A210" t="s">
        <v>573</v>
      </c>
      <c r="B210" t="s">
        <v>212</v>
      </c>
      <c r="C210" t="s">
        <v>574</v>
      </c>
      <c r="D210" t="s">
        <v>68</v>
      </c>
      <c r="E210" t="s">
        <v>36</v>
      </c>
      <c r="F210">
        <v>10</v>
      </c>
      <c r="G210" t="s">
        <v>47</v>
      </c>
      <c r="H210" s="4">
        <v>0.7368055555555556</v>
      </c>
      <c r="I210" s="5">
        <v>43936</v>
      </c>
    </row>
    <row r="211" spans="1:9" x14ac:dyDescent="0.3">
      <c r="A211" t="s">
        <v>575</v>
      </c>
      <c r="B211" t="s">
        <v>552</v>
      </c>
      <c r="C211" t="s">
        <v>218</v>
      </c>
      <c r="D211" t="s">
        <v>31</v>
      </c>
      <c r="E211" t="s">
        <v>130</v>
      </c>
      <c r="F211">
        <v>9</v>
      </c>
      <c r="G211" t="s">
        <v>47</v>
      </c>
      <c r="H211" s="4">
        <v>0.47222222222222227</v>
      </c>
      <c r="I211" s="5">
        <v>44077</v>
      </c>
    </row>
    <row r="212" spans="1:9" x14ac:dyDescent="0.3">
      <c r="A212" t="s">
        <v>576</v>
      </c>
      <c r="B212" t="s">
        <v>210</v>
      </c>
      <c r="C212" t="s">
        <v>577</v>
      </c>
      <c r="D212" t="s">
        <v>31</v>
      </c>
      <c r="E212" t="s">
        <v>23</v>
      </c>
      <c r="F212">
        <v>7</v>
      </c>
      <c r="G212" t="s">
        <v>189</v>
      </c>
      <c r="H212" s="4">
        <v>0.91736111111111107</v>
      </c>
      <c r="I212" s="5">
        <v>43874</v>
      </c>
    </row>
    <row r="213" spans="1:9" x14ac:dyDescent="0.3">
      <c r="A213" t="s">
        <v>578</v>
      </c>
      <c r="B213" t="s">
        <v>579</v>
      </c>
      <c r="C213" t="s">
        <v>580</v>
      </c>
      <c r="D213" t="s">
        <v>79</v>
      </c>
      <c r="E213" t="s">
        <v>27</v>
      </c>
      <c r="F213">
        <v>8</v>
      </c>
      <c r="G213" t="s">
        <v>47</v>
      </c>
      <c r="H213" s="4">
        <v>0.43611111111111112</v>
      </c>
      <c r="I213" s="5">
        <v>44140</v>
      </c>
    </row>
    <row r="214" spans="1:9" x14ac:dyDescent="0.3">
      <c r="A214" t="s">
        <v>581</v>
      </c>
      <c r="B214" t="s">
        <v>426</v>
      </c>
      <c r="C214" t="s">
        <v>582</v>
      </c>
      <c r="D214" t="s">
        <v>51</v>
      </c>
      <c r="E214" t="s">
        <v>17</v>
      </c>
      <c r="F214">
        <v>9</v>
      </c>
      <c r="G214" t="s">
        <v>47</v>
      </c>
      <c r="H214" s="4">
        <v>0.68541666666666667</v>
      </c>
      <c r="I214" s="5">
        <v>43905</v>
      </c>
    </row>
    <row r="215" spans="1:9" x14ac:dyDescent="0.3">
      <c r="A215" t="s">
        <v>583</v>
      </c>
      <c r="B215" t="s">
        <v>53</v>
      </c>
      <c r="C215" t="s">
        <v>584</v>
      </c>
      <c r="D215" t="s">
        <v>79</v>
      </c>
      <c r="E215" t="s">
        <v>91</v>
      </c>
      <c r="F215">
        <v>8</v>
      </c>
      <c r="G215" t="s">
        <v>47</v>
      </c>
      <c r="H215" s="4">
        <v>0.80833333333333324</v>
      </c>
      <c r="I215" s="5">
        <v>43936</v>
      </c>
    </row>
    <row r="216" spans="1:9" x14ac:dyDescent="0.3">
      <c r="A216" t="s">
        <v>585</v>
      </c>
      <c r="B216" t="s">
        <v>586</v>
      </c>
      <c r="C216" t="s">
        <v>404</v>
      </c>
      <c r="D216" t="s">
        <v>63</v>
      </c>
      <c r="E216" t="s">
        <v>91</v>
      </c>
      <c r="F216">
        <v>3</v>
      </c>
      <c r="G216" t="s">
        <v>18</v>
      </c>
      <c r="H216" s="4">
        <v>0.92152777777777783</v>
      </c>
      <c r="I216" s="5">
        <v>44153</v>
      </c>
    </row>
    <row r="217" spans="1:9" x14ac:dyDescent="0.3">
      <c r="A217" t="s">
        <v>587</v>
      </c>
      <c r="B217" t="s">
        <v>588</v>
      </c>
      <c r="C217" t="s">
        <v>589</v>
      </c>
      <c r="D217" t="s">
        <v>51</v>
      </c>
      <c r="E217" t="s">
        <v>17</v>
      </c>
      <c r="F217">
        <v>8</v>
      </c>
      <c r="G217" t="s">
        <v>18</v>
      </c>
      <c r="H217" s="4">
        <v>0.95486111111111116</v>
      </c>
      <c r="I217" s="5">
        <v>44167</v>
      </c>
    </row>
    <row r="218" spans="1:9" x14ac:dyDescent="0.3">
      <c r="A218" t="s">
        <v>590</v>
      </c>
      <c r="B218" t="s">
        <v>591</v>
      </c>
      <c r="C218" t="s">
        <v>592</v>
      </c>
      <c r="D218" t="s">
        <v>31</v>
      </c>
      <c r="E218" t="s">
        <v>130</v>
      </c>
      <c r="F218">
        <v>6</v>
      </c>
      <c r="G218" t="s">
        <v>18</v>
      </c>
      <c r="H218" s="4">
        <v>0.7368055555555556</v>
      </c>
      <c r="I218" s="5">
        <v>43905</v>
      </c>
    </row>
    <row r="219" spans="1:9" x14ac:dyDescent="0.3">
      <c r="A219" t="s">
        <v>593</v>
      </c>
      <c r="B219" t="s">
        <v>594</v>
      </c>
      <c r="C219" t="s">
        <v>595</v>
      </c>
      <c r="D219" t="s">
        <v>31</v>
      </c>
      <c r="E219" t="s">
        <v>40</v>
      </c>
      <c r="F219">
        <v>10</v>
      </c>
      <c r="G219" t="s">
        <v>12</v>
      </c>
      <c r="H219" s="4">
        <v>0.47222222222222227</v>
      </c>
      <c r="I219" s="5">
        <v>43926</v>
      </c>
    </row>
    <row r="220" spans="1:9" x14ac:dyDescent="0.3">
      <c r="A220" t="s">
        <v>596</v>
      </c>
      <c r="B220" t="s">
        <v>321</v>
      </c>
      <c r="C220" t="s">
        <v>597</v>
      </c>
      <c r="D220" t="s">
        <v>79</v>
      </c>
      <c r="E220" t="s">
        <v>32</v>
      </c>
      <c r="F220">
        <v>8</v>
      </c>
      <c r="G220" t="s">
        <v>47</v>
      </c>
      <c r="H220" s="4">
        <v>0.91736111111111107</v>
      </c>
      <c r="I220" s="5">
        <v>43974</v>
      </c>
    </row>
    <row r="221" spans="1:9" x14ac:dyDescent="0.3">
      <c r="A221" t="s">
        <v>598</v>
      </c>
      <c r="B221" t="s">
        <v>446</v>
      </c>
      <c r="C221" t="s">
        <v>599</v>
      </c>
      <c r="D221" t="s">
        <v>10</v>
      </c>
      <c r="E221" t="s">
        <v>130</v>
      </c>
      <c r="F221">
        <v>5</v>
      </c>
      <c r="G221" t="s">
        <v>47</v>
      </c>
      <c r="H221" s="4">
        <v>0.43611111111111112</v>
      </c>
      <c r="I221" s="5">
        <v>44009</v>
      </c>
    </row>
    <row r="222" spans="1:9" x14ac:dyDescent="0.3">
      <c r="A222" t="s">
        <v>600</v>
      </c>
      <c r="B222" t="s">
        <v>260</v>
      </c>
      <c r="C222" t="s">
        <v>601</v>
      </c>
      <c r="D222" t="s">
        <v>16</v>
      </c>
      <c r="E222" t="s">
        <v>27</v>
      </c>
      <c r="F222">
        <v>8</v>
      </c>
      <c r="G222" t="s">
        <v>18</v>
      </c>
      <c r="H222" s="4">
        <v>0.68541666666666667</v>
      </c>
      <c r="I222" s="5">
        <v>44090</v>
      </c>
    </row>
    <row r="223" spans="1:9" x14ac:dyDescent="0.3">
      <c r="A223" t="s">
        <v>602</v>
      </c>
      <c r="B223" t="s">
        <v>603</v>
      </c>
      <c r="C223" t="s">
        <v>117</v>
      </c>
      <c r="D223" t="s">
        <v>31</v>
      </c>
      <c r="E223" t="s">
        <v>32</v>
      </c>
      <c r="F223">
        <v>3</v>
      </c>
      <c r="G223" t="s">
        <v>47</v>
      </c>
      <c r="H223" s="4">
        <v>0.80833333333333324</v>
      </c>
      <c r="I223" s="5">
        <v>44173</v>
      </c>
    </row>
    <row r="224" spans="1:9" x14ac:dyDescent="0.3">
      <c r="A224" t="s">
        <v>604</v>
      </c>
      <c r="B224" t="s">
        <v>119</v>
      </c>
      <c r="C224" t="s">
        <v>605</v>
      </c>
      <c r="D224" t="s">
        <v>10</v>
      </c>
      <c r="E224" t="s">
        <v>91</v>
      </c>
      <c r="F224">
        <v>10</v>
      </c>
      <c r="G224" t="s">
        <v>47</v>
      </c>
      <c r="H224" s="4">
        <v>0.92152777777777783</v>
      </c>
      <c r="I224" s="5">
        <v>44161</v>
      </c>
    </row>
    <row r="225" spans="1:9" x14ac:dyDescent="0.3">
      <c r="A225" t="s">
        <v>606</v>
      </c>
      <c r="B225" t="s">
        <v>103</v>
      </c>
      <c r="C225" t="s">
        <v>607</v>
      </c>
      <c r="D225" t="s">
        <v>79</v>
      </c>
      <c r="E225" t="s">
        <v>69</v>
      </c>
      <c r="F225">
        <v>4</v>
      </c>
      <c r="G225" t="s">
        <v>18</v>
      </c>
      <c r="H225" s="4">
        <v>0.95486111111111116</v>
      </c>
      <c r="I225" s="5">
        <v>43923</v>
      </c>
    </row>
    <row r="226" spans="1:9" x14ac:dyDescent="0.3">
      <c r="A226" t="s">
        <v>608</v>
      </c>
      <c r="B226" t="s">
        <v>349</v>
      </c>
      <c r="C226" t="s">
        <v>609</v>
      </c>
      <c r="D226" t="s">
        <v>63</v>
      </c>
      <c r="E226" t="s">
        <v>91</v>
      </c>
      <c r="F226">
        <v>6</v>
      </c>
      <c r="G226" t="s">
        <v>12</v>
      </c>
      <c r="H226" s="4">
        <v>0.7368055555555556</v>
      </c>
      <c r="I226" s="5">
        <v>43857</v>
      </c>
    </row>
    <row r="227" spans="1:9" x14ac:dyDescent="0.3">
      <c r="A227" t="s">
        <v>610</v>
      </c>
      <c r="B227" t="s">
        <v>100</v>
      </c>
      <c r="C227" t="s">
        <v>611</v>
      </c>
      <c r="D227" t="s">
        <v>76</v>
      </c>
      <c r="E227" t="s">
        <v>40</v>
      </c>
      <c r="F227">
        <v>7</v>
      </c>
      <c r="G227" t="s">
        <v>47</v>
      </c>
      <c r="H227" s="4">
        <v>0.47222222222222227</v>
      </c>
      <c r="I227" s="5">
        <v>44076</v>
      </c>
    </row>
    <row r="228" spans="1:9" x14ac:dyDescent="0.3">
      <c r="A228" t="s">
        <v>612</v>
      </c>
      <c r="B228" t="s">
        <v>613</v>
      </c>
      <c r="C228" t="s">
        <v>614</v>
      </c>
      <c r="D228" t="s">
        <v>10</v>
      </c>
      <c r="E228" t="s">
        <v>64</v>
      </c>
      <c r="F228">
        <v>7</v>
      </c>
      <c r="G228" t="s">
        <v>47</v>
      </c>
      <c r="H228" s="4">
        <v>0.91736111111111107</v>
      </c>
      <c r="I228" s="5">
        <v>43984</v>
      </c>
    </row>
    <row r="229" spans="1:9" x14ac:dyDescent="0.3">
      <c r="A229" t="s">
        <v>615</v>
      </c>
      <c r="B229" t="s">
        <v>616</v>
      </c>
      <c r="C229" t="s">
        <v>617</v>
      </c>
      <c r="D229" t="s">
        <v>10</v>
      </c>
      <c r="E229" t="s">
        <v>130</v>
      </c>
      <c r="F229">
        <v>10</v>
      </c>
      <c r="G229" t="s">
        <v>12</v>
      </c>
      <c r="H229" s="4">
        <v>0.43611111111111112</v>
      </c>
      <c r="I229" s="5">
        <v>44146</v>
      </c>
    </row>
    <row r="230" spans="1:9" x14ac:dyDescent="0.3">
      <c r="A230" t="s">
        <v>618</v>
      </c>
      <c r="B230" t="s">
        <v>619</v>
      </c>
      <c r="C230" t="s">
        <v>620</v>
      </c>
      <c r="D230" t="s">
        <v>79</v>
      </c>
      <c r="E230" t="s">
        <v>32</v>
      </c>
      <c r="F230">
        <v>10</v>
      </c>
      <c r="G230" t="s">
        <v>47</v>
      </c>
      <c r="H230" s="4">
        <v>0.68541666666666667</v>
      </c>
      <c r="I230" s="5">
        <v>43882</v>
      </c>
    </row>
    <row r="231" spans="1:9" x14ac:dyDescent="0.3">
      <c r="A231" t="s">
        <v>621</v>
      </c>
      <c r="B231" t="s">
        <v>552</v>
      </c>
      <c r="C231" t="s">
        <v>622</v>
      </c>
      <c r="D231" t="s">
        <v>16</v>
      </c>
      <c r="E231" t="s">
        <v>84</v>
      </c>
      <c r="F231">
        <v>5</v>
      </c>
      <c r="G231" t="s">
        <v>18</v>
      </c>
      <c r="H231" s="4">
        <v>0.80833333333333324</v>
      </c>
      <c r="I231" s="5">
        <v>44057</v>
      </c>
    </row>
    <row r="232" spans="1:9" x14ac:dyDescent="0.3">
      <c r="A232" t="s">
        <v>623</v>
      </c>
      <c r="B232" t="s">
        <v>119</v>
      </c>
      <c r="C232" t="s">
        <v>624</v>
      </c>
      <c r="D232" t="s">
        <v>51</v>
      </c>
      <c r="E232" t="s">
        <v>80</v>
      </c>
      <c r="F232">
        <v>9</v>
      </c>
      <c r="G232" t="s">
        <v>189</v>
      </c>
      <c r="H232" s="4">
        <v>0.92152777777777783</v>
      </c>
      <c r="I232" s="5">
        <v>43888</v>
      </c>
    </row>
    <row r="233" spans="1:9" x14ac:dyDescent="0.3">
      <c r="A233" t="s">
        <v>625</v>
      </c>
      <c r="B233" t="s">
        <v>626</v>
      </c>
      <c r="C233" t="s">
        <v>627</v>
      </c>
      <c r="D233" t="s">
        <v>31</v>
      </c>
      <c r="E233" t="s">
        <v>64</v>
      </c>
      <c r="F233">
        <v>8</v>
      </c>
      <c r="G233" t="s">
        <v>12</v>
      </c>
      <c r="H233" s="4">
        <v>0.95486111111111116</v>
      </c>
      <c r="I233" s="5">
        <v>43956</v>
      </c>
    </row>
    <row r="234" spans="1:9" x14ac:dyDescent="0.3">
      <c r="A234" t="s">
        <v>628</v>
      </c>
      <c r="B234" t="s">
        <v>53</v>
      </c>
      <c r="C234" t="s">
        <v>629</v>
      </c>
      <c r="D234" t="s">
        <v>76</v>
      </c>
      <c r="E234" t="s">
        <v>40</v>
      </c>
      <c r="F234">
        <v>6</v>
      </c>
      <c r="G234" t="s">
        <v>47</v>
      </c>
      <c r="H234" s="4">
        <v>0.7368055555555556</v>
      </c>
      <c r="I234" s="5">
        <v>43838</v>
      </c>
    </row>
    <row r="235" spans="1:9" x14ac:dyDescent="0.3">
      <c r="A235" t="s">
        <v>630</v>
      </c>
      <c r="B235" t="s">
        <v>631</v>
      </c>
      <c r="C235" t="s">
        <v>632</v>
      </c>
      <c r="D235" t="s">
        <v>22</v>
      </c>
      <c r="E235" t="s">
        <v>17</v>
      </c>
      <c r="F235">
        <v>6</v>
      </c>
      <c r="G235" t="s">
        <v>18</v>
      </c>
      <c r="H235" s="4">
        <v>0.47222222222222227</v>
      </c>
      <c r="I235" s="5">
        <v>43938</v>
      </c>
    </row>
    <row r="236" spans="1:9" x14ac:dyDescent="0.3">
      <c r="A236" t="s">
        <v>633</v>
      </c>
      <c r="B236" t="s">
        <v>395</v>
      </c>
      <c r="C236" t="s">
        <v>276</v>
      </c>
      <c r="D236" t="s">
        <v>31</v>
      </c>
      <c r="E236" t="s">
        <v>91</v>
      </c>
      <c r="F236">
        <v>9</v>
      </c>
      <c r="G236" t="s">
        <v>18</v>
      </c>
      <c r="H236" s="4">
        <v>0.91736111111111107</v>
      </c>
      <c r="I236" s="5">
        <v>44121</v>
      </c>
    </row>
    <row r="237" spans="1:9" x14ac:dyDescent="0.3">
      <c r="A237" t="s">
        <v>634</v>
      </c>
      <c r="B237" t="s">
        <v>635</v>
      </c>
      <c r="C237" t="s">
        <v>636</v>
      </c>
      <c r="D237" t="s">
        <v>51</v>
      </c>
      <c r="E237" t="s">
        <v>32</v>
      </c>
      <c r="F237">
        <v>9</v>
      </c>
      <c r="G237" t="s">
        <v>18</v>
      </c>
      <c r="H237" s="4">
        <v>0.43611111111111112</v>
      </c>
      <c r="I237" s="5">
        <v>44149</v>
      </c>
    </row>
    <row r="238" spans="1:9" x14ac:dyDescent="0.3">
      <c r="A238" t="s">
        <v>637</v>
      </c>
      <c r="B238" t="s">
        <v>247</v>
      </c>
      <c r="C238" t="s">
        <v>638</v>
      </c>
      <c r="D238" t="s">
        <v>16</v>
      </c>
      <c r="E238" t="s">
        <v>40</v>
      </c>
      <c r="F238">
        <v>7</v>
      </c>
      <c r="G238" t="s">
        <v>47</v>
      </c>
      <c r="H238" s="4">
        <v>0.68541666666666667</v>
      </c>
      <c r="I238" s="5">
        <v>43899</v>
      </c>
    </row>
    <row r="239" spans="1:9" x14ac:dyDescent="0.3">
      <c r="A239" t="s">
        <v>639</v>
      </c>
      <c r="B239" t="s">
        <v>426</v>
      </c>
      <c r="C239" t="s">
        <v>640</v>
      </c>
      <c r="D239" t="s">
        <v>63</v>
      </c>
      <c r="E239" t="s">
        <v>32</v>
      </c>
      <c r="F239">
        <v>7</v>
      </c>
      <c r="G239" t="s">
        <v>47</v>
      </c>
      <c r="H239" s="4">
        <v>0.80833333333333324</v>
      </c>
      <c r="I239" s="5">
        <v>43866</v>
      </c>
    </row>
    <row r="240" spans="1:9" x14ac:dyDescent="0.3">
      <c r="A240" t="s">
        <v>641</v>
      </c>
      <c r="B240" t="s">
        <v>642</v>
      </c>
      <c r="C240" t="s">
        <v>643</v>
      </c>
      <c r="D240" t="s">
        <v>51</v>
      </c>
      <c r="E240" t="s">
        <v>130</v>
      </c>
      <c r="F240">
        <v>3</v>
      </c>
      <c r="G240" t="s">
        <v>12</v>
      </c>
      <c r="H240" s="4">
        <v>0.92152777777777783</v>
      </c>
      <c r="I240" s="5">
        <v>44024</v>
      </c>
    </row>
    <row r="241" spans="1:9" x14ac:dyDescent="0.3">
      <c r="A241" t="s">
        <v>644</v>
      </c>
      <c r="B241" t="s">
        <v>426</v>
      </c>
      <c r="C241" t="s">
        <v>645</v>
      </c>
      <c r="D241" t="s">
        <v>22</v>
      </c>
      <c r="E241" t="s">
        <v>69</v>
      </c>
      <c r="F241">
        <v>3</v>
      </c>
      <c r="G241" t="s">
        <v>47</v>
      </c>
      <c r="H241" s="4">
        <v>0.95486111111111116</v>
      </c>
      <c r="I241" s="5">
        <v>44000</v>
      </c>
    </row>
    <row r="242" spans="1:9" x14ac:dyDescent="0.3">
      <c r="A242" t="s">
        <v>646</v>
      </c>
      <c r="B242" t="s">
        <v>647</v>
      </c>
      <c r="C242" t="s">
        <v>648</v>
      </c>
      <c r="D242" t="s">
        <v>10</v>
      </c>
      <c r="E242" t="s">
        <v>69</v>
      </c>
      <c r="F242">
        <v>7</v>
      </c>
      <c r="G242" t="s">
        <v>47</v>
      </c>
      <c r="H242" s="4">
        <v>0.7368055555555556</v>
      </c>
      <c r="I242" s="5">
        <v>43943</v>
      </c>
    </row>
    <row r="243" spans="1:9" x14ac:dyDescent="0.3">
      <c r="A243" t="s">
        <v>649</v>
      </c>
      <c r="B243" t="s">
        <v>650</v>
      </c>
      <c r="C243" t="s">
        <v>651</v>
      </c>
      <c r="D243" t="s">
        <v>31</v>
      </c>
      <c r="E243" t="s">
        <v>84</v>
      </c>
      <c r="F243">
        <v>5</v>
      </c>
      <c r="G243" t="s">
        <v>47</v>
      </c>
      <c r="H243" s="4">
        <v>0.47222222222222227</v>
      </c>
      <c r="I243" s="5">
        <v>43831</v>
      </c>
    </row>
    <row r="244" spans="1:9" x14ac:dyDescent="0.3">
      <c r="A244" t="s">
        <v>652</v>
      </c>
      <c r="B244" t="s">
        <v>653</v>
      </c>
      <c r="C244" t="s">
        <v>93</v>
      </c>
      <c r="D244" t="s">
        <v>51</v>
      </c>
      <c r="E244" t="s">
        <v>23</v>
      </c>
      <c r="F244">
        <v>3</v>
      </c>
      <c r="G244" t="s">
        <v>18</v>
      </c>
      <c r="H244" s="4">
        <v>0.91736111111111107</v>
      </c>
      <c r="I244" s="5">
        <v>44131</v>
      </c>
    </row>
    <row r="245" spans="1:9" x14ac:dyDescent="0.3">
      <c r="A245" t="s">
        <v>654</v>
      </c>
      <c r="B245" t="s">
        <v>655</v>
      </c>
      <c r="C245" t="s">
        <v>319</v>
      </c>
      <c r="D245" t="s">
        <v>16</v>
      </c>
      <c r="E245" t="s">
        <v>105</v>
      </c>
      <c r="F245">
        <v>4</v>
      </c>
      <c r="G245" t="s">
        <v>47</v>
      </c>
      <c r="H245" s="4">
        <v>0.43611111111111112</v>
      </c>
      <c r="I245" s="5">
        <v>43836</v>
      </c>
    </row>
    <row r="246" spans="1:9" x14ac:dyDescent="0.3">
      <c r="A246" t="s">
        <v>656</v>
      </c>
      <c r="B246" t="s">
        <v>657</v>
      </c>
      <c r="C246" t="s">
        <v>658</v>
      </c>
      <c r="D246" t="s">
        <v>76</v>
      </c>
      <c r="E246" t="s">
        <v>40</v>
      </c>
      <c r="F246">
        <v>10</v>
      </c>
      <c r="G246" t="s">
        <v>18</v>
      </c>
      <c r="H246" s="4">
        <v>0.68541666666666667</v>
      </c>
      <c r="I246" s="5">
        <v>44154</v>
      </c>
    </row>
    <row r="247" spans="1:9" x14ac:dyDescent="0.3">
      <c r="A247" t="s">
        <v>659</v>
      </c>
      <c r="B247" t="s">
        <v>315</v>
      </c>
      <c r="C247" t="s">
        <v>126</v>
      </c>
      <c r="D247" t="s">
        <v>68</v>
      </c>
      <c r="E247" t="s">
        <v>17</v>
      </c>
      <c r="F247">
        <v>6</v>
      </c>
      <c r="G247" t="s">
        <v>47</v>
      </c>
      <c r="H247" s="4">
        <v>0.80833333333333324</v>
      </c>
      <c r="I247" s="5">
        <v>43927</v>
      </c>
    </row>
    <row r="248" spans="1:9" x14ac:dyDescent="0.3">
      <c r="A248" t="s">
        <v>660</v>
      </c>
      <c r="B248" t="s">
        <v>168</v>
      </c>
      <c r="C248" t="s">
        <v>622</v>
      </c>
      <c r="D248" t="s">
        <v>76</v>
      </c>
      <c r="E248" t="s">
        <v>105</v>
      </c>
      <c r="F248">
        <v>4</v>
      </c>
      <c r="G248" t="s">
        <v>47</v>
      </c>
      <c r="H248" s="4">
        <v>0.92152777777777783</v>
      </c>
      <c r="I248" s="5">
        <v>43976</v>
      </c>
    </row>
    <row r="249" spans="1:9" x14ac:dyDescent="0.3">
      <c r="A249" t="s">
        <v>661</v>
      </c>
      <c r="B249" t="s">
        <v>135</v>
      </c>
      <c r="C249" t="s">
        <v>662</v>
      </c>
      <c r="D249" t="s">
        <v>10</v>
      </c>
      <c r="E249" t="s">
        <v>32</v>
      </c>
      <c r="F249">
        <v>8</v>
      </c>
      <c r="G249" t="s">
        <v>47</v>
      </c>
      <c r="H249" s="4">
        <v>0.95486111111111116</v>
      </c>
      <c r="I249" s="5">
        <v>44034</v>
      </c>
    </row>
    <row r="250" spans="1:9" x14ac:dyDescent="0.3">
      <c r="A250" t="s">
        <v>663</v>
      </c>
      <c r="B250" t="s">
        <v>328</v>
      </c>
      <c r="C250" t="s">
        <v>313</v>
      </c>
      <c r="D250" t="s">
        <v>22</v>
      </c>
      <c r="E250" t="s">
        <v>105</v>
      </c>
      <c r="F250">
        <v>10</v>
      </c>
      <c r="G250" t="s">
        <v>47</v>
      </c>
      <c r="H250" s="4">
        <v>0.7368055555555556</v>
      </c>
      <c r="I250" s="5">
        <v>44187</v>
      </c>
    </row>
    <row r="251" spans="1:9" x14ac:dyDescent="0.3">
      <c r="A251" t="s">
        <v>664</v>
      </c>
      <c r="B251" t="s">
        <v>665</v>
      </c>
      <c r="C251" t="s">
        <v>666</v>
      </c>
      <c r="D251" t="s">
        <v>63</v>
      </c>
      <c r="E251" t="s">
        <v>69</v>
      </c>
      <c r="F251">
        <v>9</v>
      </c>
      <c r="G251" t="s">
        <v>47</v>
      </c>
      <c r="H251" s="4">
        <v>0.47222222222222227</v>
      </c>
      <c r="I251" s="5">
        <v>44093</v>
      </c>
    </row>
    <row r="252" spans="1:9" x14ac:dyDescent="0.3">
      <c r="A252" t="s">
        <v>667</v>
      </c>
      <c r="B252" t="s">
        <v>176</v>
      </c>
      <c r="C252" t="s">
        <v>438</v>
      </c>
      <c r="D252" t="s">
        <v>63</v>
      </c>
      <c r="E252" t="s">
        <v>11</v>
      </c>
      <c r="F252">
        <v>3</v>
      </c>
      <c r="G252" t="s">
        <v>18</v>
      </c>
      <c r="H252" s="4">
        <v>0.91736111111111107</v>
      </c>
      <c r="I252" s="5">
        <v>44040</v>
      </c>
    </row>
    <row r="253" spans="1:9" x14ac:dyDescent="0.3">
      <c r="A253" t="s">
        <v>668</v>
      </c>
      <c r="B253" t="s">
        <v>247</v>
      </c>
      <c r="C253" t="s">
        <v>669</v>
      </c>
      <c r="D253" t="s">
        <v>31</v>
      </c>
      <c r="E253" t="s">
        <v>27</v>
      </c>
      <c r="F253">
        <v>6</v>
      </c>
      <c r="G253" t="s">
        <v>47</v>
      </c>
      <c r="H253" s="4">
        <v>0.43611111111111112</v>
      </c>
      <c r="I253" s="5">
        <v>43999</v>
      </c>
    </row>
    <row r="254" spans="1:9" x14ac:dyDescent="0.3">
      <c r="A254" t="s">
        <v>670</v>
      </c>
      <c r="B254" t="s">
        <v>671</v>
      </c>
      <c r="C254" t="s">
        <v>672</v>
      </c>
      <c r="D254" t="s">
        <v>63</v>
      </c>
      <c r="E254" t="s">
        <v>36</v>
      </c>
      <c r="F254">
        <v>5</v>
      </c>
      <c r="G254" t="s">
        <v>47</v>
      </c>
      <c r="H254" s="4">
        <v>0.68541666666666667</v>
      </c>
      <c r="I254" s="5">
        <v>43988</v>
      </c>
    </row>
    <row r="255" spans="1:9" x14ac:dyDescent="0.3">
      <c r="A255" t="s">
        <v>673</v>
      </c>
      <c r="B255" t="s">
        <v>194</v>
      </c>
      <c r="C255" t="s">
        <v>674</v>
      </c>
      <c r="D255" t="s">
        <v>79</v>
      </c>
      <c r="E255" t="s">
        <v>130</v>
      </c>
      <c r="F255">
        <v>3</v>
      </c>
      <c r="G255" t="s">
        <v>47</v>
      </c>
      <c r="H255" s="4">
        <v>0.80833333333333324</v>
      </c>
      <c r="I255" s="5">
        <v>43854</v>
      </c>
    </row>
    <row r="256" spans="1:9" x14ac:dyDescent="0.3">
      <c r="A256" t="s">
        <v>675</v>
      </c>
      <c r="B256" t="s">
        <v>676</v>
      </c>
      <c r="C256" t="s">
        <v>677</v>
      </c>
      <c r="D256" t="s">
        <v>68</v>
      </c>
      <c r="E256" t="s">
        <v>40</v>
      </c>
      <c r="F256">
        <v>10</v>
      </c>
      <c r="G256" t="s">
        <v>18</v>
      </c>
      <c r="H256" s="4">
        <v>0.92152777777777783</v>
      </c>
      <c r="I256" s="5">
        <v>43932</v>
      </c>
    </row>
    <row r="257" spans="1:9" x14ac:dyDescent="0.3">
      <c r="A257" t="s">
        <v>678</v>
      </c>
      <c r="B257" t="s">
        <v>176</v>
      </c>
      <c r="C257" t="s">
        <v>592</v>
      </c>
      <c r="D257" t="s">
        <v>10</v>
      </c>
      <c r="E257" t="s">
        <v>27</v>
      </c>
      <c r="F257">
        <v>5</v>
      </c>
      <c r="G257" t="s">
        <v>18</v>
      </c>
      <c r="H257" s="4">
        <v>0.95486111111111116</v>
      </c>
      <c r="I257" s="5">
        <v>44063</v>
      </c>
    </row>
    <row r="258" spans="1:9" x14ac:dyDescent="0.3">
      <c r="A258" t="s">
        <v>679</v>
      </c>
      <c r="B258" t="s">
        <v>56</v>
      </c>
      <c r="C258" t="s">
        <v>669</v>
      </c>
      <c r="D258" t="s">
        <v>79</v>
      </c>
      <c r="E258" t="s">
        <v>130</v>
      </c>
      <c r="F258">
        <v>6</v>
      </c>
      <c r="G258" t="s">
        <v>12</v>
      </c>
      <c r="H258" s="4">
        <v>0.7368055555555556</v>
      </c>
      <c r="I258" s="5">
        <v>44040</v>
      </c>
    </row>
    <row r="259" spans="1:9" x14ac:dyDescent="0.3">
      <c r="A259" t="s">
        <v>680</v>
      </c>
      <c r="B259" t="s">
        <v>647</v>
      </c>
      <c r="C259" t="s">
        <v>681</v>
      </c>
      <c r="D259" t="s">
        <v>31</v>
      </c>
      <c r="E259" t="s">
        <v>11</v>
      </c>
      <c r="F259">
        <v>9</v>
      </c>
      <c r="G259" t="s">
        <v>47</v>
      </c>
      <c r="H259" s="4">
        <v>0.47222222222222227</v>
      </c>
      <c r="I259" s="5">
        <v>44026</v>
      </c>
    </row>
    <row r="260" spans="1:9" x14ac:dyDescent="0.3">
      <c r="A260" t="s">
        <v>682</v>
      </c>
      <c r="B260" t="s">
        <v>683</v>
      </c>
      <c r="C260" t="s">
        <v>684</v>
      </c>
      <c r="D260" t="s">
        <v>76</v>
      </c>
      <c r="E260" t="s">
        <v>64</v>
      </c>
      <c r="F260">
        <v>10</v>
      </c>
      <c r="G260" t="s">
        <v>47</v>
      </c>
      <c r="H260" s="4">
        <v>0.91736111111111107</v>
      </c>
      <c r="I260" s="5">
        <v>43846</v>
      </c>
    </row>
    <row r="261" spans="1:9" x14ac:dyDescent="0.3">
      <c r="A261" t="s">
        <v>685</v>
      </c>
      <c r="B261" t="s">
        <v>686</v>
      </c>
      <c r="C261" t="s">
        <v>687</v>
      </c>
      <c r="D261" t="s">
        <v>51</v>
      </c>
      <c r="E261" t="s">
        <v>36</v>
      </c>
      <c r="F261">
        <v>9</v>
      </c>
      <c r="G261" t="s">
        <v>47</v>
      </c>
      <c r="H261" s="4">
        <v>0.43611111111111112</v>
      </c>
      <c r="I261" s="5">
        <v>43947</v>
      </c>
    </row>
    <row r="262" spans="1:9" x14ac:dyDescent="0.3">
      <c r="A262" t="s">
        <v>688</v>
      </c>
      <c r="B262" t="s">
        <v>511</v>
      </c>
      <c r="C262" t="s">
        <v>689</v>
      </c>
      <c r="D262" t="s">
        <v>10</v>
      </c>
      <c r="E262" t="s">
        <v>17</v>
      </c>
      <c r="F262">
        <v>8</v>
      </c>
      <c r="G262" t="s">
        <v>47</v>
      </c>
      <c r="H262" s="4">
        <v>0.68541666666666667</v>
      </c>
      <c r="I262" s="5">
        <v>43852</v>
      </c>
    </row>
    <row r="263" spans="1:9" x14ac:dyDescent="0.3">
      <c r="A263" t="s">
        <v>690</v>
      </c>
      <c r="B263" t="s">
        <v>691</v>
      </c>
      <c r="C263" t="s">
        <v>577</v>
      </c>
      <c r="D263" t="s">
        <v>51</v>
      </c>
      <c r="E263" t="s">
        <v>84</v>
      </c>
      <c r="F263">
        <v>3</v>
      </c>
      <c r="G263" t="s">
        <v>47</v>
      </c>
      <c r="H263" s="4">
        <v>0.80833333333333324</v>
      </c>
      <c r="I263" s="5">
        <v>43979</v>
      </c>
    </row>
    <row r="264" spans="1:9" x14ac:dyDescent="0.3">
      <c r="A264" t="s">
        <v>692</v>
      </c>
      <c r="B264" t="s">
        <v>540</v>
      </c>
      <c r="C264" t="s">
        <v>693</v>
      </c>
      <c r="D264" t="s">
        <v>22</v>
      </c>
      <c r="E264" t="s">
        <v>91</v>
      </c>
      <c r="F264">
        <v>4</v>
      </c>
      <c r="G264" t="s">
        <v>47</v>
      </c>
      <c r="H264" s="4">
        <v>0.92152777777777783</v>
      </c>
      <c r="I264" s="5">
        <v>43937</v>
      </c>
    </row>
    <row r="265" spans="1:9" x14ac:dyDescent="0.3">
      <c r="A265" t="s">
        <v>694</v>
      </c>
      <c r="B265" t="s">
        <v>426</v>
      </c>
      <c r="C265" t="s">
        <v>695</v>
      </c>
      <c r="D265" t="s">
        <v>79</v>
      </c>
      <c r="E265" t="s">
        <v>91</v>
      </c>
      <c r="F265">
        <v>3</v>
      </c>
      <c r="G265" t="s">
        <v>47</v>
      </c>
      <c r="H265" s="4">
        <v>0.95486111111111116</v>
      </c>
      <c r="I265" s="5">
        <v>43971</v>
      </c>
    </row>
    <row r="266" spans="1:9" x14ac:dyDescent="0.3">
      <c r="A266" t="s">
        <v>696</v>
      </c>
      <c r="B266" t="s">
        <v>191</v>
      </c>
      <c r="C266" t="s">
        <v>697</v>
      </c>
      <c r="D266" t="s">
        <v>68</v>
      </c>
      <c r="E266" t="s">
        <v>69</v>
      </c>
      <c r="F266">
        <v>10</v>
      </c>
      <c r="G266" t="s">
        <v>12</v>
      </c>
      <c r="H266" s="4">
        <v>0.7368055555555556</v>
      </c>
      <c r="I266" s="5">
        <v>43961</v>
      </c>
    </row>
    <row r="267" spans="1:9" x14ac:dyDescent="0.3">
      <c r="A267" t="s">
        <v>698</v>
      </c>
      <c r="B267" t="s">
        <v>699</v>
      </c>
      <c r="C267" t="s">
        <v>59</v>
      </c>
      <c r="D267" t="s">
        <v>22</v>
      </c>
      <c r="E267" t="s">
        <v>105</v>
      </c>
      <c r="F267">
        <v>10</v>
      </c>
      <c r="G267" t="s">
        <v>12</v>
      </c>
      <c r="H267" s="4">
        <v>0.47222222222222227</v>
      </c>
      <c r="I267" s="5">
        <v>44105</v>
      </c>
    </row>
    <row r="268" spans="1:9" x14ac:dyDescent="0.3">
      <c r="A268" t="s">
        <v>700</v>
      </c>
      <c r="B268" t="s">
        <v>171</v>
      </c>
      <c r="C268" t="s">
        <v>701</v>
      </c>
      <c r="D268" t="s">
        <v>68</v>
      </c>
      <c r="E268" t="s">
        <v>64</v>
      </c>
      <c r="F268">
        <v>3</v>
      </c>
      <c r="G268" t="s">
        <v>18</v>
      </c>
      <c r="H268" s="4">
        <v>0.91736111111111107</v>
      </c>
      <c r="I268" s="5">
        <v>43933</v>
      </c>
    </row>
    <row r="269" spans="1:9" x14ac:dyDescent="0.3">
      <c r="A269" t="s">
        <v>702</v>
      </c>
      <c r="B269" t="s">
        <v>204</v>
      </c>
      <c r="C269" t="s">
        <v>703</v>
      </c>
      <c r="D269" t="s">
        <v>22</v>
      </c>
      <c r="E269" t="s">
        <v>91</v>
      </c>
      <c r="F269">
        <v>5</v>
      </c>
      <c r="G269" t="s">
        <v>18</v>
      </c>
      <c r="H269" s="4">
        <v>0.43611111111111112</v>
      </c>
      <c r="I269" s="5">
        <v>43944</v>
      </c>
    </row>
    <row r="270" spans="1:9" x14ac:dyDescent="0.3">
      <c r="A270" t="s">
        <v>704</v>
      </c>
      <c r="B270" t="s">
        <v>321</v>
      </c>
      <c r="C270" t="s">
        <v>705</v>
      </c>
      <c r="D270" t="s">
        <v>79</v>
      </c>
      <c r="E270" t="s">
        <v>11</v>
      </c>
      <c r="F270">
        <v>5</v>
      </c>
      <c r="G270" t="s">
        <v>18</v>
      </c>
      <c r="H270" s="4">
        <v>0.68541666666666667</v>
      </c>
      <c r="I270" s="5">
        <v>43994</v>
      </c>
    </row>
    <row r="271" spans="1:9" x14ac:dyDescent="0.3">
      <c r="A271" t="s">
        <v>706</v>
      </c>
      <c r="B271" t="s">
        <v>707</v>
      </c>
      <c r="C271" t="s">
        <v>708</v>
      </c>
      <c r="D271" t="s">
        <v>31</v>
      </c>
      <c r="E271" t="s">
        <v>80</v>
      </c>
      <c r="F271">
        <v>7</v>
      </c>
      <c r="G271" t="s">
        <v>47</v>
      </c>
      <c r="H271" s="4">
        <v>0.80833333333333324</v>
      </c>
      <c r="I271" s="5">
        <v>44150</v>
      </c>
    </row>
    <row r="272" spans="1:9" x14ac:dyDescent="0.3">
      <c r="A272" t="s">
        <v>709</v>
      </c>
      <c r="B272" t="s">
        <v>8</v>
      </c>
      <c r="C272" t="s">
        <v>710</v>
      </c>
      <c r="D272" t="s">
        <v>22</v>
      </c>
      <c r="E272" t="s">
        <v>11</v>
      </c>
      <c r="F272">
        <v>7</v>
      </c>
      <c r="G272" t="s">
        <v>47</v>
      </c>
      <c r="H272" s="4">
        <v>0.92152777777777783</v>
      </c>
      <c r="I272" s="5">
        <v>44005</v>
      </c>
    </row>
    <row r="273" spans="1:9" x14ac:dyDescent="0.3">
      <c r="A273" t="s">
        <v>711</v>
      </c>
      <c r="B273" t="s">
        <v>712</v>
      </c>
      <c r="C273" t="s">
        <v>713</v>
      </c>
      <c r="D273" t="s">
        <v>79</v>
      </c>
      <c r="E273" t="s">
        <v>64</v>
      </c>
      <c r="F273">
        <v>3</v>
      </c>
      <c r="G273" t="s">
        <v>47</v>
      </c>
      <c r="H273" s="4">
        <v>0.95486111111111116</v>
      </c>
      <c r="I273" s="5">
        <v>44037</v>
      </c>
    </row>
    <row r="274" spans="1:9" x14ac:dyDescent="0.3">
      <c r="A274" t="s">
        <v>714</v>
      </c>
      <c r="B274" t="s">
        <v>699</v>
      </c>
      <c r="C274" t="s">
        <v>93</v>
      </c>
      <c r="D274" t="s">
        <v>31</v>
      </c>
      <c r="E274" t="s">
        <v>80</v>
      </c>
      <c r="F274">
        <v>10</v>
      </c>
      <c r="G274" t="s">
        <v>47</v>
      </c>
      <c r="H274" s="4">
        <v>0.7368055555555556</v>
      </c>
      <c r="I274" s="5">
        <v>44171</v>
      </c>
    </row>
    <row r="275" spans="1:9" x14ac:dyDescent="0.3">
      <c r="A275" t="s">
        <v>715</v>
      </c>
      <c r="B275" t="s">
        <v>716</v>
      </c>
      <c r="C275" t="s">
        <v>717</v>
      </c>
      <c r="D275" t="s">
        <v>51</v>
      </c>
      <c r="E275" t="s">
        <v>40</v>
      </c>
      <c r="F275">
        <v>9</v>
      </c>
      <c r="G275" t="s">
        <v>18</v>
      </c>
      <c r="H275" s="4">
        <v>0.47222222222222227</v>
      </c>
      <c r="I275" s="5">
        <v>44003</v>
      </c>
    </row>
    <row r="276" spans="1:9" x14ac:dyDescent="0.3">
      <c r="A276" t="s">
        <v>718</v>
      </c>
      <c r="B276" t="s">
        <v>719</v>
      </c>
      <c r="C276" t="s">
        <v>720</v>
      </c>
      <c r="D276" t="s">
        <v>63</v>
      </c>
      <c r="E276" t="s">
        <v>23</v>
      </c>
      <c r="F276">
        <v>10</v>
      </c>
      <c r="G276" t="s">
        <v>47</v>
      </c>
      <c r="H276" s="4">
        <v>0.91736111111111107</v>
      </c>
      <c r="I276" s="5">
        <v>44093</v>
      </c>
    </row>
    <row r="277" spans="1:9" x14ac:dyDescent="0.3">
      <c r="A277" t="s">
        <v>721</v>
      </c>
      <c r="B277" t="s">
        <v>119</v>
      </c>
      <c r="C277" t="s">
        <v>722</v>
      </c>
      <c r="D277" t="s">
        <v>63</v>
      </c>
      <c r="E277" t="s">
        <v>105</v>
      </c>
      <c r="F277">
        <v>3</v>
      </c>
      <c r="G277" t="s">
        <v>18</v>
      </c>
      <c r="H277" s="4">
        <v>0.43611111111111112</v>
      </c>
      <c r="I277" s="5">
        <v>44129</v>
      </c>
    </row>
    <row r="278" spans="1:9" x14ac:dyDescent="0.3">
      <c r="A278" t="s">
        <v>723</v>
      </c>
      <c r="B278" t="s">
        <v>724</v>
      </c>
      <c r="C278" t="s">
        <v>725</v>
      </c>
      <c r="D278" t="s">
        <v>22</v>
      </c>
      <c r="E278" t="s">
        <v>64</v>
      </c>
      <c r="F278">
        <v>5</v>
      </c>
      <c r="G278" t="s">
        <v>12</v>
      </c>
      <c r="H278" s="4">
        <v>0.68541666666666667</v>
      </c>
      <c r="I278" s="5">
        <v>43838</v>
      </c>
    </row>
    <row r="279" spans="1:9" x14ac:dyDescent="0.3">
      <c r="A279" t="s">
        <v>726</v>
      </c>
      <c r="B279" t="s">
        <v>727</v>
      </c>
      <c r="C279" t="s">
        <v>728</v>
      </c>
      <c r="D279" t="s">
        <v>22</v>
      </c>
      <c r="E279" t="s">
        <v>69</v>
      </c>
      <c r="F279">
        <v>9</v>
      </c>
      <c r="G279" t="s">
        <v>12</v>
      </c>
      <c r="H279" s="4">
        <v>0.80833333333333324</v>
      </c>
      <c r="I279" s="5">
        <v>44110</v>
      </c>
    </row>
    <row r="280" spans="1:9" x14ac:dyDescent="0.3">
      <c r="A280" t="s">
        <v>729</v>
      </c>
      <c r="B280" t="s">
        <v>293</v>
      </c>
      <c r="C280" t="s">
        <v>452</v>
      </c>
      <c r="D280" t="s">
        <v>31</v>
      </c>
      <c r="E280" t="s">
        <v>91</v>
      </c>
      <c r="F280">
        <v>9</v>
      </c>
      <c r="G280" t="s">
        <v>18</v>
      </c>
      <c r="H280" s="4">
        <v>0.92152777777777783</v>
      </c>
      <c r="I280" s="5">
        <v>44024</v>
      </c>
    </row>
    <row r="281" spans="1:9" x14ac:dyDescent="0.3">
      <c r="A281" t="s">
        <v>730</v>
      </c>
      <c r="B281" t="s">
        <v>731</v>
      </c>
      <c r="C281" t="s">
        <v>732</v>
      </c>
      <c r="D281" t="s">
        <v>16</v>
      </c>
      <c r="E281" t="s">
        <v>69</v>
      </c>
      <c r="F281">
        <v>9</v>
      </c>
      <c r="G281" t="s">
        <v>47</v>
      </c>
      <c r="H281" s="4">
        <v>0.95486111111111116</v>
      </c>
      <c r="I281" s="5">
        <v>43932</v>
      </c>
    </row>
    <row r="282" spans="1:9" x14ac:dyDescent="0.3">
      <c r="A282" t="s">
        <v>733</v>
      </c>
      <c r="B282" t="s">
        <v>321</v>
      </c>
      <c r="C282" t="s">
        <v>452</v>
      </c>
      <c r="D282" t="s">
        <v>63</v>
      </c>
      <c r="E282" t="s">
        <v>84</v>
      </c>
      <c r="F282">
        <v>10</v>
      </c>
      <c r="G282" t="s">
        <v>47</v>
      </c>
      <c r="H282" s="4">
        <v>0.7368055555555556</v>
      </c>
      <c r="I282" s="5">
        <v>43851</v>
      </c>
    </row>
    <row r="283" spans="1:9" x14ac:dyDescent="0.3">
      <c r="A283" t="s">
        <v>734</v>
      </c>
      <c r="B283" t="s">
        <v>176</v>
      </c>
      <c r="C283" t="s">
        <v>735</v>
      </c>
      <c r="D283" t="s">
        <v>16</v>
      </c>
      <c r="E283" t="s">
        <v>69</v>
      </c>
      <c r="F283">
        <v>3</v>
      </c>
      <c r="G283" t="s">
        <v>47</v>
      </c>
      <c r="H283" s="4">
        <v>0.47222222222222227</v>
      </c>
      <c r="I283" s="5">
        <v>44124</v>
      </c>
    </row>
    <row r="284" spans="1:9" x14ac:dyDescent="0.3">
      <c r="A284" t="s">
        <v>736</v>
      </c>
      <c r="B284" t="s">
        <v>737</v>
      </c>
      <c r="C284" t="s">
        <v>185</v>
      </c>
      <c r="D284" t="s">
        <v>76</v>
      </c>
      <c r="E284" t="s">
        <v>91</v>
      </c>
      <c r="F284">
        <v>4</v>
      </c>
      <c r="G284" t="s">
        <v>47</v>
      </c>
      <c r="H284" s="4">
        <v>0.91736111111111107</v>
      </c>
      <c r="I284" s="5">
        <v>43878</v>
      </c>
    </row>
    <row r="285" spans="1:9" x14ac:dyDescent="0.3">
      <c r="A285" t="s">
        <v>738</v>
      </c>
      <c r="B285" t="s">
        <v>739</v>
      </c>
      <c r="C285" t="s">
        <v>740</v>
      </c>
      <c r="D285" t="s">
        <v>76</v>
      </c>
      <c r="E285" t="s">
        <v>40</v>
      </c>
      <c r="F285">
        <v>7</v>
      </c>
      <c r="G285" t="s">
        <v>18</v>
      </c>
      <c r="H285" s="4">
        <v>0.43611111111111112</v>
      </c>
      <c r="I285" s="5">
        <v>44038</v>
      </c>
    </row>
    <row r="286" spans="1:9" x14ac:dyDescent="0.3">
      <c r="A286" t="s">
        <v>741</v>
      </c>
      <c r="B286" t="s">
        <v>485</v>
      </c>
      <c r="C286" t="s">
        <v>742</v>
      </c>
      <c r="D286" t="s">
        <v>31</v>
      </c>
      <c r="E286" t="s">
        <v>23</v>
      </c>
      <c r="F286">
        <v>7</v>
      </c>
      <c r="G286" t="s">
        <v>189</v>
      </c>
      <c r="H286" s="4">
        <v>0.68541666666666667</v>
      </c>
      <c r="I286" s="5">
        <v>44090</v>
      </c>
    </row>
    <row r="287" spans="1:9" x14ac:dyDescent="0.3">
      <c r="A287" t="s">
        <v>743</v>
      </c>
      <c r="B287" t="s">
        <v>511</v>
      </c>
      <c r="C287" t="s">
        <v>404</v>
      </c>
      <c r="D287" t="s">
        <v>16</v>
      </c>
      <c r="E287" t="s">
        <v>130</v>
      </c>
      <c r="F287">
        <v>7</v>
      </c>
      <c r="G287" t="s">
        <v>47</v>
      </c>
      <c r="H287" s="4">
        <v>0.80833333333333324</v>
      </c>
      <c r="I287" s="5">
        <v>44015</v>
      </c>
    </row>
    <row r="288" spans="1:9" x14ac:dyDescent="0.3">
      <c r="A288" t="s">
        <v>744</v>
      </c>
      <c r="B288" t="s">
        <v>537</v>
      </c>
      <c r="C288" t="s">
        <v>319</v>
      </c>
      <c r="D288" t="s">
        <v>68</v>
      </c>
      <c r="E288" t="s">
        <v>40</v>
      </c>
      <c r="F288">
        <v>8</v>
      </c>
      <c r="G288" t="s">
        <v>47</v>
      </c>
      <c r="H288" s="4">
        <v>0.92152777777777783</v>
      </c>
      <c r="I288" s="5">
        <v>44003</v>
      </c>
    </row>
    <row r="289" spans="1:9" x14ac:dyDescent="0.3">
      <c r="A289" t="s">
        <v>745</v>
      </c>
      <c r="B289" t="s">
        <v>712</v>
      </c>
      <c r="C289" t="s">
        <v>746</v>
      </c>
      <c r="D289" t="s">
        <v>51</v>
      </c>
      <c r="E289" t="s">
        <v>64</v>
      </c>
      <c r="F289">
        <v>7</v>
      </c>
      <c r="G289" t="s">
        <v>47</v>
      </c>
      <c r="H289" s="4">
        <v>0.95486111111111116</v>
      </c>
      <c r="I289" s="5">
        <v>43877</v>
      </c>
    </row>
    <row r="290" spans="1:9" x14ac:dyDescent="0.3">
      <c r="A290" t="s">
        <v>747</v>
      </c>
      <c r="B290" t="s">
        <v>748</v>
      </c>
      <c r="C290" t="s">
        <v>749</v>
      </c>
      <c r="D290" t="s">
        <v>76</v>
      </c>
      <c r="E290" t="s">
        <v>11</v>
      </c>
      <c r="F290">
        <v>4</v>
      </c>
      <c r="G290" t="s">
        <v>18</v>
      </c>
      <c r="H290" s="4">
        <v>0.7368055555555556</v>
      </c>
      <c r="I290" s="5">
        <v>43942</v>
      </c>
    </row>
    <row r="291" spans="1:9" x14ac:dyDescent="0.3">
      <c r="A291" t="s">
        <v>750</v>
      </c>
      <c r="B291" t="s">
        <v>751</v>
      </c>
      <c r="C291" t="s">
        <v>752</v>
      </c>
      <c r="D291" t="s">
        <v>10</v>
      </c>
      <c r="E291" t="s">
        <v>84</v>
      </c>
      <c r="F291">
        <v>6</v>
      </c>
      <c r="G291" t="s">
        <v>47</v>
      </c>
      <c r="H291" s="4">
        <v>0.47222222222222227</v>
      </c>
      <c r="I291" s="5">
        <v>44173</v>
      </c>
    </row>
    <row r="292" spans="1:9" x14ac:dyDescent="0.3">
      <c r="A292" t="s">
        <v>753</v>
      </c>
      <c r="B292" t="s">
        <v>482</v>
      </c>
      <c r="C292" t="s">
        <v>754</v>
      </c>
      <c r="D292" t="s">
        <v>51</v>
      </c>
      <c r="E292" t="s">
        <v>23</v>
      </c>
      <c r="F292">
        <v>8</v>
      </c>
      <c r="G292" t="s">
        <v>12</v>
      </c>
      <c r="H292" s="4">
        <v>0.91736111111111107</v>
      </c>
      <c r="I292" s="5">
        <v>44000</v>
      </c>
    </row>
    <row r="293" spans="1:9" x14ac:dyDescent="0.3">
      <c r="A293" t="s">
        <v>755</v>
      </c>
      <c r="B293" t="s">
        <v>756</v>
      </c>
      <c r="C293" t="s">
        <v>757</v>
      </c>
      <c r="D293" t="s">
        <v>10</v>
      </c>
      <c r="E293" t="s">
        <v>27</v>
      </c>
      <c r="F293">
        <v>5</v>
      </c>
      <c r="G293" t="s">
        <v>343</v>
      </c>
      <c r="H293" s="4">
        <v>0.43611111111111112</v>
      </c>
      <c r="I293" s="5">
        <v>44151</v>
      </c>
    </row>
    <row r="294" spans="1:9" x14ac:dyDescent="0.3">
      <c r="A294" t="s">
        <v>758</v>
      </c>
      <c r="B294" t="s">
        <v>759</v>
      </c>
      <c r="C294" t="s">
        <v>533</v>
      </c>
      <c r="D294" t="s">
        <v>16</v>
      </c>
      <c r="E294" t="s">
        <v>11</v>
      </c>
      <c r="F294">
        <v>6</v>
      </c>
      <c r="G294" t="s">
        <v>12</v>
      </c>
      <c r="H294" s="4">
        <v>0.68541666666666667</v>
      </c>
      <c r="I294" s="5">
        <v>44019</v>
      </c>
    </row>
    <row r="295" spans="1:9" x14ac:dyDescent="0.3">
      <c r="A295" t="s">
        <v>760</v>
      </c>
      <c r="B295" t="s">
        <v>14</v>
      </c>
      <c r="C295" t="s">
        <v>761</v>
      </c>
      <c r="D295" t="s">
        <v>10</v>
      </c>
      <c r="E295" t="s">
        <v>105</v>
      </c>
      <c r="F295">
        <v>7</v>
      </c>
      <c r="G295" t="s">
        <v>18</v>
      </c>
      <c r="H295" s="4">
        <v>0.80833333333333324</v>
      </c>
      <c r="I295" s="5">
        <v>44102</v>
      </c>
    </row>
    <row r="296" spans="1:9" x14ac:dyDescent="0.3">
      <c r="A296" t="s">
        <v>762</v>
      </c>
      <c r="B296" t="s">
        <v>763</v>
      </c>
      <c r="C296" t="s">
        <v>15</v>
      </c>
      <c r="D296" t="s">
        <v>63</v>
      </c>
      <c r="E296" t="s">
        <v>32</v>
      </c>
      <c r="F296">
        <v>5</v>
      </c>
      <c r="G296" t="s">
        <v>18</v>
      </c>
      <c r="H296" s="4">
        <v>0.92152777777777783</v>
      </c>
      <c r="I296" s="5">
        <v>43883</v>
      </c>
    </row>
    <row r="297" spans="1:9" x14ac:dyDescent="0.3">
      <c r="A297" t="s">
        <v>764</v>
      </c>
      <c r="B297" t="s">
        <v>616</v>
      </c>
      <c r="C297" t="s">
        <v>703</v>
      </c>
      <c r="D297" t="s">
        <v>31</v>
      </c>
      <c r="E297" t="s">
        <v>11</v>
      </c>
      <c r="F297">
        <v>6</v>
      </c>
      <c r="G297" t="s">
        <v>12</v>
      </c>
      <c r="H297" s="4">
        <v>0.95486111111111116</v>
      </c>
      <c r="I297" s="5">
        <v>43936</v>
      </c>
    </row>
    <row r="298" spans="1:9" x14ac:dyDescent="0.3">
      <c r="A298" t="s">
        <v>765</v>
      </c>
      <c r="B298" t="s">
        <v>225</v>
      </c>
      <c r="C298" t="s">
        <v>319</v>
      </c>
      <c r="D298" t="s">
        <v>31</v>
      </c>
      <c r="E298" t="s">
        <v>11</v>
      </c>
      <c r="F298">
        <v>6</v>
      </c>
      <c r="G298" t="s">
        <v>47</v>
      </c>
      <c r="H298" s="4">
        <v>0.7368055555555556</v>
      </c>
      <c r="I298" s="5">
        <v>43960</v>
      </c>
    </row>
    <row r="299" spans="1:9" x14ac:dyDescent="0.3">
      <c r="A299" t="s">
        <v>766</v>
      </c>
      <c r="B299" t="s">
        <v>548</v>
      </c>
      <c r="C299" t="s">
        <v>767</v>
      </c>
      <c r="D299" t="s">
        <v>31</v>
      </c>
      <c r="E299" t="s">
        <v>40</v>
      </c>
      <c r="F299">
        <v>3</v>
      </c>
      <c r="G299" t="s">
        <v>12</v>
      </c>
      <c r="H299" s="4">
        <v>0.47222222222222227</v>
      </c>
      <c r="I299" s="5">
        <v>43907</v>
      </c>
    </row>
    <row r="300" spans="1:9" x14ac:dyDescent="0.3">
      <c r="A300" t="s">
        <v>768</v>
      </c>
      <c r="B300" t="s">
        <v>128</v>
      </c>
      <c r="C300" t="s">
        <v>769</v>
      </c>
      <c r="D300" t="s">
        <v>63</v>
      </c>
      <c r="E300" t="s">
        <v>40</v>
      </c>
      <c r="F300">
        <v>3</v>
      </c>
      <c r="G300" t="s">
        <v>47</v>
      </c>
      <c r="H300" s="4">
        <v>0.91736111111111107</v>
      </c>
      <c r="I300" s="5">
        <v>44094</v>
      </c>
    </row>
    <row r="301" spans="1:9" x14ac:dyDescent="0.3">
      <c r="A301" t="s">
        <v>770</v>
      </c>
      <c r="B301" t="s">
        <v>176</v>
      </c>
      <c r="C301" t="s">
        <v>771</v>
      </c>
      <c r="D301" t="s">
        <v>22</v>
      </c>
      <c r="E301" t="s">
        <v>27</v>
      </c>
      <c r="F301">
        <v>9</v>
      </c>
      <c r="G301" t="s">
        <v>12</v>
      </c>
      <c r="H301" s="4">
        <v>0.43611111111111112</v>
      </c>
      <c r="I301" s="5">
        <v>43878</v>
      </c>
    </row>
    <row r="302" spans="1:9" x14ac:dyDescent="0.3">
      <c r="A302" t="s">
        <v>772</v>
      </c>
      <c r="B302" t="s">
        <v>71</v>
      </c>
      <c r="C302" t="s">
        <v>199</v>
      </c>
      <c r="D302" t="s">
        <v>16</v>
      </c>
      <c r="E302" t="s">
        <v>32</v>
      </c>
      <c r="F302">
        <v>5</v>
      </c>
      <c r="G302" t="s">
        <v>47</v>
      </c>
      <c r="H302" s="4">
        <v>0.68541666666666667</v>
      </c>
      <c r="I302" s="5">
        <v>43964</v>
      </c>
    </row>
    <row r="303" spans="1:9" x14ac:dyDescent="0.3">
      <c r="A303" t="s">
        <v>773</v>
      </c>
      <c r="B303" t="s">
        <v>218</v>
      </c>
      <c r="C303" t="s">
        <v>104</v>
      </c>
      <c r="D303" t="s">
        <v>68</v>
      </c>
      <c r="E303" t="s">
        <v>91</v>
      </c>
      <c r="F303">
        <v>4</v>
      </c>
      <c r="G303" t="s">
        <v>47</v>
      </c>
      <c r="H303" s="4">
        <v>0.80833333333333324</v>
      </c>
      <c r="I303" s="5">
        <v>43888</v>
      </c>
    </row>
    <row r="304" spans="1:9" x14ac:dyDescent="0.3">
      <c r="A304" t="s">
        <v>774</v>
      </c>
      <c r="B304" t="s">
        <v>775</v>
      </c>
      <c r="C304" t="s">
        <v>776</v>
      </c>
      <c r="D304" t="s">
        <v>51</v>
      </c>
      <c r="E304" t="s">
        <v>84</v>
      </c>
      <c r="F304">
        <v>10</v>
      </c>
      <c r="G304" t="s">
        <v>47</v>
      </c>
      <c r="H304" s="4">
        <v>0.92152777777777783</v>
      </c>
      <c r="I304" s="5">
        <v>43974</v>
      </c>
    </row>
    <row r="305" spans="1:9" x14ac:dyDescent="0.3">
      <c r="A305" t="s">
        <v>777</v>
      </c>
      <c r="B305" t="s">
        <v>517</v>
      </c>
      <c r="C305" t="s">
        <v>778</v>
      </c>
      <c r="D305" t="s">
        <v>51</v>
      </c>
      <c r="E305" t="s">
        <v>23</v>
      </c>
      <c r="F305">
        <v>5</v>
      </c>
      <c r="G305" t="s">
        <v>12</v>
      </c>
      <c r="H305" s="4">
        <v>0.95486111111111116</v>
      </c>
      <c r="I305" s="5">
        <v>44024</v>
      </c>
    </row>
    <row r="306" spans="1:9" x14ac:dyDescent="0.3">
      <c r="A306" t="s">
        <v>779</v>
      </c>
      <c r="B306" t="s">
        <v>579</v>
      </c>
      <c r="C306" t="s">
        <v>780</v>
      </c>
      <c r="D306" t="s">
        <v>63</v>
      </c>
      <c r="E306" t="s">
        <v>17</v>
      </c>
      <c r="F306">
        <v>9</v>
      </c>
      <c r="G306" t="s">
        <v>18</v>
      </c>
      <c r="H306" s="4">
        <v>0.7368055555555556</v>
      </c>
      <c r="I306" s="5">
        <v>43848</v>
      </c>
    </row>
    <row r="307" spans="1:9" x14ac:dyDescent="0.3">
      <c r="A307" t="s">
        <v>781</v>
      </c>
      <c r="B307" t="s">
        <v>511</v>
      </c>
      <c r="C307" t="s">
        <v>782</v>
      </c>
      <c r="D307" t="s">
        <v>31</v>
      </c>
      <c r="E307" t="s">
        <v>130</v>
      </c>
      <c r="F307">
        <v>8</v>
      </c>
      <c r="G307" t="s">
        <v>47</v>
      </c>
      <c r="H307" s="4">
        <v>0.47222222222222227</v>
      </c>
      <c r="I307" s="5">
        <v>44150</v>
      </c>
    </row>
    <row r="308" spans="1:9" x14ac:dyDescent="0.3">
      <c r="A308" t="s">
        <v>783</v>
      </c>
      <c r="B308" t="s">
        <v>408</v>
      </c>
      <c r="C308" t="s">
        <v>749</v>
      </c>
      <c r="D308" t="s">
        <v>63</v>
      </c>
      <c r="E308" t="s">
        <v>69</v>
      </c>
      <c r="F308">
        <v>3</v>
      </c>
      <c r="G308" t="s">
        <v>12</v>
      </c>
      <c r="H308" s="4">
        <v>0.91736111111111107</v>
      </c>
      <c r="I308" s="5">
        <v>43914</v>
      </c>
    </row>
    <row r="309" spans="1:9" x14ac:dyDescent="0.3">
      <c r="A309" t="s">
        <v>784</v>
      </c>
      <c r="B309" t="s">
        <v>785</v>
      </c>
      <c r="C309" t="s">
        <v>786</v>
      </c>
      <c r="D309" t="s">
        <v>51</v>
      </c>
      <c r="E309" t="s">
        <v>91</v>
      </c>
      <c r="F309">
        <v>5</v>
      </c>
      <c r="G309" t="s">
        <v>18</v>
      </c>
      <c r="H309" s="4">
        <v>0.43611111111111112</v>
      </c>
      <c r="I309" s="5">
        <v>44099</v>
      </c>
    </row>
    <row r="310" spans="1:9" x14ac:dyDescent="0.3">
      <c r="A310" t="s">
        <v>787</v>
      </c>
      <c r="B310" t="s">
        <v>285</v>
      </c>
      <c r="C310" t="s">
        <v>788</v>
      </c>
      <c r="D310" t="s">
        <v>63</v>
      </c>
      <c r="E310" t="s">
        <v>91</v>
      </c>
      <c r="F310">
        <v>6</v>
      </c>
      <c r="G310" t="s">
        <v>18</v>
      </c>
      <c r="H310" s="4">
        <v>0.68541666666666667</v>
      </c>
      <c r="I310" s="5">
        <v>43873</v>
      </c>
    </row>
    <row r="311" spans="1:9" x14ac:dyDescent="0.3">
      <c r="A311" t="s">
        <v>789</v>
      </c>
      <c r="B311" t="s">
        <v>225</v>
      </c>
      <c r="C311" t="s">
        <v>579</v>
      </c>
      <c r="D311" t="s">
        <v>10</v>
      </c>
      <c r="E311" t="s">
        <v>69</v>
      </c>
      <c r="F311">
        <v>9</v>
      </c>
      <c r="G311" t="s">
        <v>12</v>
      </c>
      <c r="H311" s="4">
        <v>0.80833333333333324</v>
      </c>
      <c r="I311" s="5">
        <v>44027</v>
      </c>
    </row>
    <row r="312" spans="1:9" x14ac:dyDescent="0.3">
      <c r="A312" t="s">
        <v>790</v>
      </c>
      <c r="B312" t="s">
        <v>791</v>
      </c>
      <c r="C312" t="s">
        <v>792</v>
      </c>
      <c r="D312" t="s">
        <v>79</v>
      </c>
      <c r="E312" t="s">
        <v>11</v>
      </c>
      <c r="F312">
        <v>4</v>
      </c>
      <c r="G312" t="s">
        <v>18</v>
      </c>
      <c r="H312" s="4">
        <v>0.92152777777777783</v>
      </c>
      <c r="I312" s="5">
        <v>43924</v>
      </c>
    </row>
    <row r="313" spans="1:9" x14ac:dyDescent="0.3">
      <c r="A313" t="s">
        <v>793</v>
      </c>
      <c r="B313" t="s">
        <v>349</v>
      </c>
      <c r="C313" t="s">
        <v>794</v>
      </c>
      <c r="D313" t="s">
        <v>79</v>
      </c>
      <c r="E313" t="s">
        <v>36</v>
      </c>
      <c r="F313">
        <v>7</v>
      </c>
      <c r="G313" t="s">
        <v>47</v>
      </c>
      <c r="H313" s="4">
        <v>0.95486111111111116</v>
      </c>
      <c r="I313" s="5">
        <v>43881</v>
      </c>
    </row>
    <row r="314" spans="1:9" x14ac:dyDescent="0.3">
      <c r="A314" t="s">
        <v>795</v>
      </c>
      <c r="B314" t="s">
        <v>421</v>
      </c>
      <c r="C314" t="s">
        <v>796</v>
      </c>
      <c r="D314" t="s">
        <v>10</v>
      </c>
      <c r="E314" t="s">
        <v>64</v>
      </c>
      <c r="F314">
        <v>7</v>
      </c>
      <c r="G314" t="s">
        <v>18</v>
      </c>
      <c r="H314" s="4">
        <v>0.7368055555555556</v>
      </c>
      <c r="I314" s="5">
        <v>44040</v>
      </c>
    </row>
    <row r="315" spans="1:9" x14ac:dyDescent="0.3">
      <c r="A315" t="s">
        <v>797</v>
      </c>
      <c r="B315" t="s">
        <v>128</v>
      </c>
      <c r="C315" t="s">
        <v>798</v>
      </c>
      <c r="D315" t="s">
        <v>16</v>
      </c>
      <c r="E315" t="s">
        <v>32</v>
      </c>
      <c r="F315">
        <v>9</v>
      </c>
      <c r="G315" t="s">
        <v>18</v>
      </c>
      <c r="H315" s="4">
        <v>0.47222222222222227</v>
      </c>
      <c r="I315" s="5">
        <v>43964</v>
      </c>
    </row>
    <row r="316" spans="1:9" x14ac:dyDescent="0.3">
      <c r="A316" t="s">
        <v>799</v>
      </c>
      <c r="B316" t="s">
        <v>246</v>
      </c>
      <c r="C316" t="s">
        <v>800</v>
      </c>
      <c r="D316" t="s">
        <v>10</v>
      </c>
      <c r="E316" t="s">
        <v>80</v>
      </c>
      <c r="F316">
        <v>5</v>
      </c>
      <c r="G316" t="s">
        <v>12</v>
      </c>
      <c r="H316" s="4">
        <v>0.91736111111111107</v>
      </c>
      <c r="I316" s="5">
        <v>44149</v>
      </c>
    </row>
    <row r="317" spans="1:9" x14ac:dyDescent="0.3">
      <c r="A317" t="s">
        <v>801</v>
      </c>
      <c r="B317" t="s">
        <v>802</v>
      </c>
      <c r="C317" t="s">
        <v>35</v>
      </c>
      <c r="D317" t="s">
        <v>16</v>
      </c>
      <c r="E317" t="s">
        <v>32</v>
      </c>
      <c r="F317">
        <v>5</v>
      </c>
      <c r="G317" t="s">
        <v>47</v>
      </c>
      <c r="H317" s="4">
        <v>0.43611111111111112</v>
      </c>
      <c r="I317" s="5">
        <v>44080</v>
      </c>
    </row>
    <row r="318" spans="1:9" x14ac:dyDescent="0.3">
      <c r="A318" t="s">
        <v>803</v>
      </c>
      <c r="B318" t="s">
        <v>528</v>
      </c>
      <c r="C318" t="s">
        <v>804</v>
      </c>
      <c r="D318" t="s">
        <v>51</v>
      </c>
      <c r="E318" t="s">
        <v>32</v>
      </c>
      <c r="F318">
        <v>6</v>
      </c>
      <c r="G318" t="s">
        <v>18</v>
      </c>
      <c r="H318" s="4">
        <v>0.68541666666666667</v>
      </c>
      <c r="I318" s="5">
        <v>43873</v>
      </c>
    </row>
    <row r="319" spans="1:9" x14ac:dyDescent="0.3">
      <c r="A319" t="s">
        <v>805</v>
      </c>
      <c r="B319" t="s">
        <v>395</v>
      </c>
      <c r="C319" t="s">
        <v>806</v>
      </c>
      <c r="D319" t="s">
        <v>63</v>
      </c>
      <c r="E319" t="s">
        <v>11</v>
      </c>
      <c r="F319">
        <v>5</v>
      </c>
      <c r="G319" t="s">
        <v>12</v>
      </c>
      <c r="H319" s="4">
        <v>0.80833333333333324</v>
      </c>
      <c r="I319" s="5">
        <v>44082</v>
      </c>
    </row>
    <row r="320" spans="1:9" x14ac:dyDescent="0.3">
      <c r="A320" t="s">
        <v>807</v>
      </c>
      <c r="B320" t="s">
        <v>295</v>
      </c>
      <c r="C320" t="s">
        <v>808</v>
      </c>
      <c r="D320" t="s">
        <v>68</v>
      </c>
      <c r="E320" t="s">
        <v>69</v>
      </c>
      <c r="F320">
        <v>7</v>
      </c>
      <c r="G320" t="s">
        <v>47</v>
      </c>
      <c r="H320" s="4">
        <v>0.92152777777777783</v>
      </c>
      <c r="I320" s="5">
        <v>43984</v>
      </c>
    </row>
    <row r="321" spans="1:9" x14ac:dyDescent="0.3">
      <c r="A321" t="s">
        <v>809</v>
      </c>
      <c r="B321" t="s">
        <v>810</v>
      </c>
      <c r="C321" t="s">
        <v>565</v>
      </c>
      <c r="D321" t="s">
        <v>31</v>
      </c>
      <c r="E321" t="s">
        <v>32</v>
      </c>
      <c r="F321">
        <v>3</v>
      </c>
      <c r="G321" t="s">
        <v>18</v>
      </c>
      <c r="H321" s="4">
        <v>0.95486111111111116</v>
      </c>
      <c r="I321" s="5">
        <v>44038</v>
      </c>
    </row>
    <row r="322" spans="1:9" x14ac:dyDescent="0.3">
      <c r="A322" t="s">
        <v>811</v>
      </c>
      <c r="B322" t="s">
        <v>266</v>
      </c>
      <c r="C322" t="s">
        <v>812</v>
      </c>
      <c r="D322" t="s">
        <v>51</v>
      </c>
      <c r="E322" t="s">
        <v>11</v>
      </c>
      <c r="F322">
        <v>5</v>
      </c>
      <c r="G322" t="s">
        <v>47</v>
      </c>
      <c r="H322" s="4">
        <v>0.7368055555555556</v>
      </c>
      <c r="I322" s="5">
        <v>43976</v>
      </c>
    </row>
    <row r="323" spans="1:9" x14ac:dyDescent="0.3">
      <c r="A323" t="s">
        <v>813</v>
      </c>
      <c r="B323" t="s">
        <v>616</v>
      </c>
      <c r="C323" t="s">
        <v>814</v>
      </c>
      <c r="D323" t="s">
        <v>51</v>
      </c>
      <c r="E323" t="s">
        <v>27</v>
      </c>
      <c r="F323">
        <v>5</v>
      </c>
      <c r="G323" t="s">
        <v>18</v>
      </c>
      <c r="H323" s="4">
        <v>0.47222222222222227</v>
      </c>
      <c r="I323" s="5">
        <v>43941</v>
      </c>
    </row>
    <row r="324" spans="1:9" x14ac:dyDescent="0.3">
      <c r="A324" t="s">
        <v>815</v>
      </c>
      <c r="B324" t="s">
        <v>443</v>
      </c>
      <c r="C324" t="s">
        <v>816</v>
      </c>
      <c r="D324" t="s">
        <v>63</v>
      </c>
      <c r="E324" t="s">
        <v>17</v>
      </c>
      <c r="F324">
        <v>5</v>
      </c>
      <c r="G324" t="s">
        <v>12</v>
      </c>
      <c r="H324" s="4">
        <v>0.91736111111111107</v>
      </c>
      <c r="I324" s="5">
        <v>44058</v>
      </c>
    </row>
    <row r="325" spans="1:9" x14ac:dyDescent="0.3">
      <c r="A325" t="s">
        <v>817</v>
      </c>
      <c r="B325" t="s">
        <v>775</v>
      </c>
      <c r="C325" t="s">
        <v>818</v>
      </c>
      <c r="D325" t="s">
        <v>79</v>
      </c>
      <c r="E325" t="s">
        <v>91</v>
      </c>
      <c r="F325">
        <v>5</v>
      </c>
      <c r="G325" t="s">
        <v>47</v>
      </c>
      <c r="H325" s="4">
        <v>0.43611111111111112</v>
      </c>
      <c r="I325" s="5">
        <v>44159</v>
      </c>
    </row>
    <row r="326" spans="1:9" x14ac:dyDescent="0.3">
      <c r="A326" t="s">
        <v>819</v>
      </c>
      <c r="B326" t="s">
        <v>820</v>
      </c>
      <c r="C326" t="s">
        <v>821</v>
      </c>
      <c r="D326" t="s">
        <v>51</v>
      </c>
      <c r="E326" t="s">
        <v>105</v>
      </c>
      <c r="F326">
        <v>10</v>
      </c>
      <c r="G326" t="s">
        <v>18</v>
      </c>
      <c r="H326" s="4">
        <v>0.68541666666666667</v>
      </c>
      <c r="I326" s="5">
        <v>44009</v>
      </c>
    </row>
    <row r="327" spans="1:9" x14ac:dyDescent="0.3">
      <c r="A327" t="s">
        <v>822</v>
      </c>
      <c r="B327" t="s">
        <v>119</v>
      </c>
      <c r="C327" t="s">
        <v>605</v>
      </c>
      <c r="D327" t="s">
        <v>51</v>
      </c>
      <c r="E327" t="s">
        <v>23</v>
      </c>
      <c r="F327">
        <v>7</v>
      </c>
      <c r="G327" t="s">
        <v>18</v>
      </c>
      <c r="H327" s="4">
        <v>0.80833333333333324</v>
      </c>
      <c r="I327" s="5">
        <v>43903</v>
      </c>
    </row>
    <row r="328" spans="1:9" x14ac:dyDescent="0.3">
      <c r="A328" t="s">
        <v>823</v>
      </c>
      <c r="B328" t="s">
        <v>176</v>
      </c>
      <c r="C328" t="s">
        <v>824</v>
      </c>
      <c r="D328" t="s">
        <v>76</v>
      </c>
      <c r="E328" t="s">
        <v>23</v>
      </c>
      <c r="F328">
        <v>4</v>
      </c>
      <c r="G328" t="s">
        <v>18</v>
      </c>
      <c r="H328" s="4">
        <v>0.92152777777777783</v>
      </c>
      <c r="I328" s="5">
        <v>44175</v>
      </c>
    </row>
    <row r="329" spans="1:9" x14ac:dyDescent="0.3">
      <c r="A329" t="s">
        <v>825</v>
      </c>
      <c r="B329" t="s">
        <v>176</v>
      </c>
      <c r="C329" t="s">
        <v>826</v>
      </c>
      <c r="D329" t="s">
        <v>10</v>
      </c>
      <c r="E329" t="s">
        <v>40</v>
      </c>
      <c r="F329">
        <v>3</v>
      </c>
      <c r="G329" t="s">
        <v>18</v>
      </c>
      <c r="H329" s="4">
        <v>0.95486111111111116</v>
      </c>
      <c r="I329" s="5">
        <v>44000</v>
      </c>
    </row>
    <row r="330" spans="1:9" x14ac:dyDescent="0.3">
      <c r="A330" t="s">
        <v>827</v>
      </c>
      <c r="B330" t="s">
        <v>212</v>
      </c>
      <c r="C330" t="s">
        <v>828</v>
      </c>
      <c r="D330" t="s">
        <v>10</v>
      </c>
      <c r="E330" t="s">
        <v>69</v>
      </c>
      <c r="F330">
        <v>5</v>
      </c>
      <c r="G330" t="s">
        <v>47</v>
      </c>
      <c r="H330" s="4">
        <v>0.7368055555555556</v>
      </c>
      <c r="I330" s="5">
        <v>44192</v>
      </c>
    </row>
    <row r="331" spans="1:9" x14ac:dyDescent="0.3">
      <c r="A331" t="s">
        <v>829</v>
      </c>
      <c r="B331" t="s">
        <v>830</v>
      </c>
      <c r="C331" t="s">
        <v>831</v>
      </c>
      <c r="D331" t="s">
        <v>51</v>
      </c>
      <c r="E331" t="s">
        <v>32</v>
      </c>
      <c r="F331">
        <v>10</v>
      </c>
      <c r="G331" t="s">
        <v>47</v>
      </c>
      <c r="H331" s="4">
        <v>0.47222222222222227</v>
      </c>
      <c r="I331" s="5">
        <v>44186</v>
      </c>
    </row>
    <row r="332" spans="1:9" x14ac:dyDescent="0.3">
      <c r="A332" t="s">
        <v>832</v>
      </c>
      <c r="B332" t="s">
        <v>74</v>
      </c>
      <c r="C332" t="s">
        <v>104</v>
      </c>
      <c r="D332" t="s">
        <v>68</v>
      </c>
      <c r="E332" t="s">
        <v>23</v>
      </c>
      <c r="F332">
        <v>3</v>
      </c>
      <c r="G332" t="s">
        <v>18</v>
      </c>
      <c r="H332" s="4">
        <v>0.91736111111111107</v>
      </c>
      <c r="I332" s="5">
        <v>44120</v>
      </c>
    </row>
    <row r="333" spans="1:9" x14ac:dyDescent="0.3">
      <c r="A333" t="s">
        <v>833</v>
      </c>
      <c r="B333" t="s">
        <v>95</v>
      </c>
      <c r="C333" t="s">
        <v>834</v>
      </c>
      <c r="D333" t="s">
        <v>10</v>
      </c>
      <c r="E333" t="s">
        <v>64</v>
      </c>
      <c r="F333">
        <v>5</v>
      </c>
      <c r="G333" t="s">
        <v>47</v>
      </c>
      <c r="H333" s="4">
        <v>0.43611111111111112</v>
      </c>
      <c r="I333" s="5">
        <v>43924</v>
      </c>
    </row>
    <row r="334" spans="1:9" x14ac:dyDescent="0.3">
      <c r="A334" t="s">
        <v>835</v>
      </c>
      <c r="B334" t="s">
        <v>836</v>
      </c>
      <c r="C334" t="s">
        <v>253</v>
      </c>
      <c r="D334" t="s">
        <v>68</v>
      </c>
      <c r="E334" t="s">
        <v>80</v>
      </c>
      <c r="F334">
        <v>7</v>
      </c>
      <c r="G334" t="s">
        <v>18</v>
      </c>
      <c r="H334" s="4">
        <v>0.68541666666666667</v>
      </c>
      <c r="I334" s="5">
        <v>44079</v>
      </c>
    </row>
    <row r="335" spans="1:9" x14ac:dyDescent="0.3">
      <c r="A335" t="s">
        <v>837</v>
      </c>
      <c r="B335" t="s">
        <v>838</v>
      </c>
      <c r="C335" t="s">
        <v>839</v>
      </c>
      <c r="D335" t="s">
        <v>22</v>
      </c>
      <c r="E335" t="s">
        <v>80</v>
      </c>
      <c r="F335">
        <v>6</v>
      </c>
      <c r="G335" t="s">
        <v>343</v>
      </c>
      <c r="H335" s="4">
        <v>0.80833333333333324</v>
      </c>
      <c r="I335" s="5">
        <v>44033</v>
      </c>
    </row>
    <row r="336" spans="1:9" x14ac:dyDescent="0.3">
      <c r="A336" t="s">
        <v>840</v>
      </c>
      <c r="B336" t="s">
        <v>841</v>
      </c>
      <c r="C336" t="s">
        <v>842</v>
      </c>
      <c r="D336" t="s">
        <v>31</v>
      </c>
      <c r="E336" t="s">
        <v>11</v>
      </c>
      <c r="F336">
        <v>8</v>
      </c>
      <c r="G336" t="s">
        <v>47</v>
      </c>
      <c r="H336" s="4">
        <v>0.92152777777777783</v>
      </c>
      <c r="I336" s="5">
        <v>44119</v>
      </c>
    </row>
    <row r="337" spans="1:9" x14ac:dyDescent="0.3">
      <c r="A337" t="s">
        <v>843</v>
      </c>
      <c r="B337" t="s">
        <v>844</v>
      </c>
      <c r="C337" t="s">
        <v>845</v>
      </c>
      <c r="D337" t="s">
        <v>76</v>
      </c>
      <c r="E337" t="s">
        <v>69</v>
      </c>
      <c r="F337">
        <v>10</v>
      </c>
      <c r="G337" t="s">
        <v>12</v>
      </c>
      <c r="H337" s="4">
        <v>0.95486111111111116</v>
      </c>
      <c r="I337" s="5">
        <v>44129</v>
      </c>
    </row>
    <row r="338" spans="1:9" x14ac:dyDescent="0.3">
      <c r="A338" t="s">
        <v>846</v>
      </c>
      <c r="B338" t="s">
        <v>847</v>
      </c>
      <c r="C338" t="s">
        <v>746</v>
      </c>
      <c r="D338" t="s">
        <v>22</v>
      </c>
      <c r="E338" t="s">
        <v>17</v>
      </c>
      <c r="F338">
        <v>4</v>
      </c>
      <c r="G338" t="s">
        <v>47</v>
      </c>
      <c r="H338" s="4">
        <v>0.7368055555555556</v>
      </c>
      <c r="I338" s="5">
        <v>44153</v>
      </c>
    </row>
    <row r="339" spans="1:9" x14ac:dyDescent="0.3">
      <c r="A339" t="s">
        <v>848</v>
      </c>
      <c r="B339" t="s">
        <v>260</v>
      </c>
      <c r="C339" t="s">
        <v>383</v>
      </c>
      <c r="D339" t="s">
        <v>51</v>
      </c>
      <c r="E339" t="s">
        <v>91</v>
      </c>
      <c r="F339">
        <v>3</v>
      </c>
      <c r="G339" t="s">
        <v>47</v>
      </c>
      <c r="H339" s="4">
        <v>0.47222222222222227</v>
      </c>
      <c r="I339" s="5">
        <v>44076</v>
      </c>
    </row>
    <row r="340" spans="1:9" x14ac:dyDescent="0.3">
      <c r="A340" t="s">
        <v>849</v>
      </c>
      <c r="B340" t="s">
        <v>850</v>
      </c>
      <c r="C340" t="s">
        <v>851</v>
      </c>
      <c r="D340" t="s">
        <v>68</v>
      </c>
      <c r="E340" t="s">
        <v>36</v>
      </c>
      <c r="F340">
        <v>8</v>
      </c>
      <c r="G340" t="s">
        <v>47</v>
      </c>
      <c r="H340" s="4">
        <v>0.91736111111111107</v>
      </c>
      <c r="I340" s="5">
        <v>43852</v>
      </c>
    </row>
    <row r="341" spans="1:9" x14ac:dyDescent="0.3">
      <c r="A341" t="s">
        <v>852</v>
      </c>
      <c r="B341" t="s">
        <v>263</v>
      </c>
      <c r="C341" t="s">
        <v>853</v>
      </c>
      <c r="D341" t="s">
        <v>16</v>
      </c>
      <c r="E341" t="s">
        <v>40</v>
      </c>
      <c r="F341">
        <v>6</v>
      </c>
      <c r="G341" t="s">
        <v>12</v>
      </c>
      <c r="H341" s="4">
        <v>0.43611111111111112</v>
      </c>
      <c r="I341" s="5">
        <v>44096</v>
      </c>
    </row>
    <row r="342" spans="1:9" x14ac:dyDescent="0.3">
      <c r="A342" t="s">
        <v>854</v>
      </c>
      <c r="B342" t="s">
        <v>855</v>
      </c>
      <c r="C342" t="s">
        <v>856</v>
      </c>
      <c r="D342" t="s">
        <v>10</v>
      </c>
      <c r="E342" t="s">
        <v>105</v>
      </c>
      <c r="F342">
        <v>9</v>
      </c>
      <c r="G342" t="s">
        <v>47</v>
      </c>
      <c r="H342" s="4">
        <v>0.68541666666666667</v>
      </c>
      <c r="I342" s="5">
        <v>44118</v>
      </c>
    </row>
    <row r="343" spans="1:9" x14ac:dyDescent="0.3">
      <c r="A343" t="s">
        <v>857</v>
      </c>
      <c r="B343" t="s">
        <v>858</v>
      </c>
      <c r="C343" t="s">
        <v>71</v>
      </c>
      <c r="D343" t="s">
        <v>16</v>
      </c>
      <c r="E343" t="s">
        <v>91</v>
      </c>
      <c r="F343">
        <v>10</v>
      </c>
      <c r="G343" t="s">
        <v>47</v>
      </c>
      <c r="H343" s="4">
        <v>0.80833333333333324</v>
      </c>
      <c r="I343" s="5">
        <v>43849</v>
      </c>
    </row>
    <row r="344" spans="1:9" x14ac:dyDescent="0.3">
      <c r="A344" t="s">
        <v>859</v>
      </c>
      <c r="B344" t="s">
        <v>860</v>
      </c>
      <c r="C344" t="s">
        <v>584</v>
      </c>
      <c r="D344" t="s">
        <v>16</v>
      </c>
      <c r="E344" t="s">
        <v>130</v>
      </c>
      <c r="F344">
        <v>9</v>
      </c>
      <c r="G344" t="s">
        <v>47</v>
      </c>
      <c r="H344" s="4">
        <v>0.92152777777777783</v>
      </c>
      <c r="I344" s="5">
        <v>44062</v>
      </c>
    </row>
    <row r="345" spans="1:9" x14ac:dyDescent="0.3">
      <c r="A345" t="s">
        <v>861</v>
      </c>
      <c r="B345" t="s">
        <v>451</v>
      </c>
      <c r="C345" t="s">
        <v>862</v>
      </c>
      <c r="D345" t="s">
        <v>63</v>
      </c>
      <c r="E345" t="s">
        <v>84</v>
      </c>
      <c r="F345">
        <v>9</v>
      </c>
      <c r="G345" t="s">
        <v>12</v>
      </c>
      <c r="H345" s="4">
        <v>0.95486111111111116</v>
      </c>
      <c r="I345" s="5">
        <v>44140</v>
      </c>
    </row>
    <row r="346" spans="1:9" x14ac:dyDescent="0.3">
      <c r="A346" t="s">
        <v>863</v>
      </c>
      <c r="B346" t="s">
        <v>699</v>
      </c>
      <c r="C346" t="s">
        <v>864</v>
      </c>
      <c r="D346" t="s">
        <v>10</v>
      </c>
      <c r="E346" t="s">
        <v>32</v>
      </c>
      <c r="F346">
        <v>3</v>
      </c>
      <c r="G346" t="s">
        <v>47</v>
      </c>
      <c r="H346" s="4">
        <v>0.7368055555555556</v>
      </c>
      <c r="I346" s="5">
        <v>44172</v>
      </c>
    </row>
    <row r="347" spans="1:9" x14ac:dyDescent="0.3">
      <c r="A347" t="s">
        <v>865</v>
      </c>
      <c r="B347" t="s">
        <v>349</v>
      </c>
      <c r="C347" t="s">
        <v>672</v>
      </c>
      <c r="D347" t="s">
        <v>22</v>
      </c>
      <c r="E347" t="s">
        <v>32</v>
      </c>
      <c r="F347">
        <v>9</v>
      </c>
      <c r="G347" t="s">
        <v>12</v>
      </c>
      <c r="H347" s="4">
        <v>0.47222222222222227</v>
      </c>
      <c r="I347" s="5">
        <v>44150</v>
      </c>
    </row>
    <row r="348" spans="1:9" x14ac:dyDescent="0.3">
      <c r="A348" t="s">
        <v>866</v>
      </c>
      <c r="B348" t="s">
        <v>867</v>
      </c>
      <c r="C348" t="s">
        <v>868</v>
      </c>
      <c r="D348" t="s">
        <v>76</v>
      </c>
      <c r="E348" t="s">
        <v>105</v>
      </c>
      <c r="F348">
        <v>5</v>
      </c>
      <c r="G348" t="s">
        <v>47</v>
      </c>
      <c r="H348" s="4">
        <v>0.91736111111111107</v>
      </c>
      <c r="I348" s="5">
        <v>44148</v>
      </c>
    </row>
    <row r="349" spans="1:9" x14ac:dyDescent="0.3">
      <c r="A349" t="s">
        <v>869</v>
      </c>
      <c r="B349" t="s">
        <v>613</v>
      </c>
      <c r="C349" t="s">
        <v>870</v>
      </c>
      <c r="D349" t="s">
        <v>22</v>
      </c>
      <c r="E349" t="s">
        <v>64</v>
      </c>
      <c r="F349">
        <v>3</v>
      </c>
      <c r="G349" t="s">
        <v>12</v>
      </c>
      <c r="H349" s="4">
        <v>0.43611111111111112</v>
      </c>
      <c r="I349" s="5">
        <v>43960</v>
      </c>
    </row>
    <row r="350" spans="1:9" x14ac:dyDescent="0.3">
      <c r="A350" t="s">
        <v>871</v>
      </c>
      <c r="B350" t="s">
        <v>872</v>
      </c>
      <c r="C350" t="s">
        <v>873</v>
      </c>
      <c r="D350" t="s">
        <v>63</v>
      </c>
      <c r="E350" t="s">
        <v>32</v>
      </c>
      <c r="F350">
        <v>3</v>
      </c>
      <c r="G350" t="s">
        <v>47</v>
      </c>
      <c r="H350" s="4">
        <v>0.68541666666666667</v>
      </c>
      <c r="I350" s="5">
        <v>44059</v>
      </c>
    </row>
    <row r="351" spans="1:9" x14ac:dyDescent="0.3">
      <c r="A351" t="s">
        <v>874</v>
      </c>
      <c r="B351" t="s">
        <v>727</v>
      </c>
      <c r="C351" t="s">
        <v>253</v>
      </c>
      <c r="D351" t="s">
        <v>51</v>
      </c>
      <c r="E351" t="s">
        <v>40</v>
      </c>
      <c r="F351">
        <v>7</v>
      </c>
      <c r="G351" t="s">
        <v>47</v>
      </c>
      <c r="H351" s="4">
        <v>0.80833333333333324</v>
      </c>
      <c r="I351" s="5">
        <v>44039</v>
      </c>
    </row>
    <row r="352" spans="1:9" x14ac:dyDescent="0.3">
      <c r="A352" t="s">
        <v>875</v>
      </c>
      <c r="B352" t="s">
        <v>448</v>
      </c>
      <c r="C352" t="s">
        <v>104</v>
      </c>
      <c r="D352" t="s">
        <v>63</v>
      </c>
      <c r="E352" t="s">
        <v>105</v>
      </c>
      <c r="F352">
        <v>4</v>
      </c>
      <c r="G352" t="s">
        <v>47</v>
      </c>
      <c r="H352" s="4">
        <v>0.92152777777777783</v>
      </c>
      <c r="I352" s="5">
        <v>43932</v>
      </c>
    </row>
    <row r="353" spans="1:9" x14ac:dyDescent="0.3">
      <c r="A353" t="s">
        <v>876</v>
      </c>
      <c r="B353" t="s">
        <v>877</v>
      </c>
      <c r="C353" t="s">
        <v>878</v>
      </c>
      <c r="D353" t="s">
        <v>63</v>
      </c>
      <c r="E353" t="s">
        <v>23</v>
      </c>
      <c r="F353">
        <v>7</v>
      </c>
      <c r="G353" t="s">
        <v>47</v>
      </c>
      <c r="H353" s="4">
        <v>0.95486111111111116</v>
      </c>
      <c r="I353" s="5">
        <v>44112</v>
      </c>
    </row>
    <row r="354" spans="1:9" x14ac:dyDescent="0.3">
      <c r="A354" t="s">
        <v>879</v>
      </c>
      <c r="B354" t="s">
        <v>880</v>
      </c>
      <c r="C354" t="s">
        <v>629</v>
      </c>
      <c r="D354" t="s">
        <v>22</v>
      </c>
      <c r="E354" t="s">
        <v>27</v>
      </c>
      <c r="F354">
        <v>9</v>
      </c>
      <c r="G354" t="s">
        <v>47</v>
      </c>
      <c r="H354" s="4">
        <v>0.7368055555555556</v>
      </c>
      <c r="I354" s="5">
        <v>43997</v>
      </c>
    </row>
    <row r="355" spans="1:9" x14ac:dyDescent="0.3">
      <c r="A355" t="s">
        <v>881</v>
      </c>
      <c r="B355" t="s">
        <v>436</v>
      </c>
      <c r="C355" t="s">
        <v>882</v>
      </c>
      <c r="D355" t="s">
        <v>10</v>
      </c>
      <c r="E355" t="s">
        <v>69</v>
      </c>
      <c r="F355">
        <v>10</v>
      </c>
      <c r="G355" t="s">
        <v>47</v>
      </c>
      <c r="H355" s="4">
        <v>0.47222222222222227</v>
      </c>
      <c r="I355" s="5">
        <v>43843</v>
      </c>
    </row>
    <row r="356" spans="1:9" x14ac:dyDescent="0.3">
      <c r="A356" t="s">
        <v>883</v>
      </c>
      <c r="B356" t="s">
        <v>884</v>
      </c>
      <c r="C356" t="s">
        <v>419</v>
      </c>
      <c r="D356" t="s">
        <v>63</v>
      </c>
      <c r="E356" t="s">
        <v>11</v>
      </c>
      <c r="F356">
        <v>7</v>
      </c>
      <c r="G356" t="s">
        <v>47</v>
      </c>
      <c r="H356" s="4">
        <v>0.91736111111111107</v>
      </c>
      <c r="I356" s="5">
        <v>43913</v>
      </c>
    </row>
    <row r="357" spans="1:9" x14ac:dyDescent="0.3">
      <c r="A357" t="s">
        <v>885</v>
      </c>
      <c r="B357" t="s">
        <v>349</v>
      </c>
      <c r="C357" t="s">
        <v>886</v>
      </c>
      <c r="D357" t="s">
        <v>76</v>
      </c>
      <c r="E357" t="s">
        <v>11</v>
      </c>
      <c r="F357">
        <v>6</v>
      </c>
      <c r="G357" t="s">
        <v>12</v>
      </c>
      <c r="H357" s="4">
        <v>0.43611111111111112</v>
      </c>
      <c r="I357" s="5">
        <v>44126</v>
      </c>
    </row>
    <row r="358" spans="1:9" x14ac:dyDescent="0.3">
      <c r="A358" t="s">
        <v>887</v>
      </c>
      <c r="B358" t="s">
        <v>888</v>
      </c>
      <c r="C358" t="s">
        <v>889</v>
      </c>
      <c r="D358" t="s">
        <v>10</v>
      </c>
      <c r="E358" t="s">
        <v>80</v>
      </c>
      <c r="F358">
        <v>8</v>
      </c>
      <c r="G358" t="s">
        <v>12</v>
      </c>
      <c r="H358" s="4">
        <v>0.68541666666666667</v>
      </c>
      <c r="I358" s="5">
        <v>44094</v>
      </c>
    </row>
    <row r="359" spans="1:9" x14ac:dyDescent="0.3">
      <c r="A359" t="s">
        <v>890</v>
      </c>
      <c r="B359" t="s">
        <v>385</v>
      </c>
      <c r="C359" t="s">
        <v>891</v>
      </c>
      <c r="D359" t="s">
        <v>16</v>
      </c>
      <c r="E359" t="s">
        <v>130</v>
      </c>
      <c r="F359">
        <v>10</v>
      </c>
      <c r="G359" t="s">
        <v>18</v>
      </c>
      <c r="H359" s="4">
        <v>0.80833333333333324</v>
      </c>
      <c r="I359" s="5">
        <v>44086</v>
      </c>
    </row>
    <row r="360" spans="1:9" x14ac:dyDescent="0.3">
      <c r="A360" t="s">
        <v>892</v>
      </c>
      <c r="B360" t="s">
        <v>207</v>
      </c>
      <c r="C360" t="s">
        <v>893</v>
      </c>
      <c r="D360" t="s">
        <v>76</v>
      </c>
      <c r="E360" t="s">
        <v>17</v>
      </c>
      <c r="F360">
        <v>4</v>
      </c>
      <c r="G360" t="s">
        <v>47</v>
      </c>
      <c r="H360" s="4">
        <v>0.92152777777777783</v>
      </c>
      <c r="I360" s="5">
        <v>44176</v>
      </c>
    </row>
    <row r="361" spans="1:9" x14ac:dyDescent="0.3">
      <c r="A361" t="s">
        <v>894</v>
      </c>
      <c r="B361" t="s">
        <v>895</v>
      </c>
      <c r="C361" t="s">
        <v>555</v>
      </c>
      <c r="D361" t="s">
        <v>51</v>
      </c>
      <c r="E361" t="s">
        <v>40</v>
      </c>
      <c r="F361">
        <v>6</v>
      </c>
      <c r="G361" t="s">
        <v>18</v>
      </c>
      <c r="H361" s="4">
        <v>0.95486111111111116</v>
      </c>
      <c r="I361" s="5">
        <v>43840</v>
      </c>
    </row>
    <row r="362" spans="1:9" x14ac:dyDescent="0.3">
      <c r="A362" t="s">
        <v>896</v>
      </c>
      <c r="B362" t="s">
        <v>867</v>
      </c>
      <c r="C362" t="s">
        <v>897</v>
      </c>
      <c r="D362" t="s">
        <v>76</v>
      </c>
      <c r="E362" t="s">
        <v>80</v>
      </c>
      <c r="F362">
        <v>8</v>
      </c>
      <c r="G362" t="s">
        <v>47</v>
      </c>
      <c r="H362" s="4">
        <v>0.7368055555555556</v>
      </c>
      <c r="I362" s="5">
        <v>44160</v>
      </c>
    </row>
    <row r="363" spans="1:9" x14ac:dyDescent="0.3">
      <c r="A363" t="s">
        <v>898</v>
      </c>
      <c r="B363" t="s">
        <v>899</v>
      </c>
      <c r="C363" t="s">
        <v>900</v>
      </c>
      <c r="D363" t="s">
        <v>68</v>
      </c>
      <c r="E363" t="s">
        <v>36</v>
      </c>
      <c r="F363">
        <v>8</v>
      </c>
      <c r="G363" t="s">
        <v>12</v>
      </c>
      <c r="H363" s="4">
        <v>0.47222222222222227</v>
      </c>
      <c r="I363" s="5">
        <v>44045</v>
      </c>
    </row>
    <row r="364" spans="1:9" x14ac:dyDescent="0.3">
      <c r="A364" t="s">
        <v>901</v>
      </c>
      <c r="B364" t="s">
        <v>902</v>
      </c>
      <c r="C364" t="s">
        <v>722</v>
      </c>
      <c r="D364" t="s">
        <v>51</v>
      </c>
      <c r="E364" t="s">
        <v>64</v>
      </c>
      <c r="F364">
        <v>9</v>
      </c>
      <c r="G364" t="s">
        <v>12</v>
      </c>
      <c r="H364" s="4">
        <v>0.91736111111111107</v>
      </c>
      <c r="I364" s="5">
        <v>43989</v>
      </c>
    </row>
    <row r="365" spans="1:9" x14ac:dyDescent="0.3">
      <c r="A365" t="s">
        <v>903</v>
      </c>
      <c r="B365" t="s">
        <v>218</v>
      </c>
      <c r="C365" t="s">
        <v>904</v>
      </c>
      <c r="D365" t="s">
        <v>22</v>
      </c>
      <c r="E365" t="s">
        <v>64</v>
      </c>
      <c r="F365">
        <v>7</v>
      </c>
      <c r="G365" t="s">
        <v>47</v>
      </c>
      <c r="H365" s="4">
        <v>0.43611111111111112</v>
      </c>
      <c r="I365" s="5">
        <v>43949</v>
      </c>
    </row>
    <row r="366" spans="1:9" x14ac:dyDescent="0.3">
      <c r="A366" t="s">
        <v>905</v>
      </c>
      <c r="B366" t="s">
        <v>786</v>
      </c>
      <c r="C366" t="s">
        <v>319</v>
      </c>
      <c r="D366" t="s">
        <v>79</v>
      </c>
      <c r="E366" t="s">
        <v>130</v>
      </c>
      <c r="F366">
        <v>9</v>
      </c>
      <c r="G366" t="s">
        <v>47</v>
      </c>
      <c r="H366" s="4">
        <v>0.68541666666666667</v>
      </c>
      <c r="I366" s="5">
        <v>44108</v>
      </c>
    </row>
    <row r="367" spans="1:9" x14ac:dyDescent="0.3">
      <c r="A367" t="s">
        <v>906</v>
      </c>
      <c r="B367" t="s">
        <v>448</v>
      </c>
      <c r="C367" t="s">
        <v>907</v>
      </c>
      <c r="D367" t="s">
        <v>68</v>
      </c>
      <c r="E367" t="s">
        <v>84</v>
      </c>
      <c r="F367">
        <v>5</v>
      </c>
      <c r="G367" t="s">
        <v>12</v>
      </c>
      <c r="H367" s="4">
        <v>0.80833333333333324</v>
      </c>
      <c r="I367" s="5">
        <v>44138</v>
      </c>
    </row>
    <row r="368" spans="1:9" x14ac:dyDescent="0.3">
      <c r="A368" t="s">
        <v>908</v>
      </c>
      <c r="B368" t="s">
        <v>418</v>
      </c>
      <c r="C368" t="s">
        <v>909</v>
      </c>
      <c r="D368" t="s">
        <v>16</v>
      </c>
      <c r="E368" t="s">
        <v>23</v>
      </c>
      <c r="F368">
        <v>7</v>
      </c>
      <c r="G368" t="s">
        <v>12</v>
      </c>
      <c r="H368" s="4">
        <v>0.92152777777777783</v>
      </c>
      <c r="I368" s="5">
        <v>43943</v>
      </c>
    </row>
    <row r="369" spans="1:9" x14ac:dyDescent="0.3">
      <c r="A369" t="s">
        <v>910</v>
      </c>
      <c r="B369" t="s">
        <v>877</v>
      </c>
      <c r="C369" t="s">
        <v>911</v>
      </c>
      <c r="D369" t="s">
        <v>63</v>
      </c>
      <c r="E369" t="s">
        <v>27</v>
      </c>
      <c r="F369">
        <v>6</v>
      </c>
      <c r="G369" t="s">
        <v>18</v>
      </c>
      <c r="H369" s="4">
        <v>0.95486111111111116</v>
      </c>
      <c r="I369" s="5">
        <v>44149</v>
      </c>
    </row>
    <row r="370" spans="1:9" x14ac:dyDescent="0.3">
      <c r="A370" t="s">
        <v>912</v>
      </c>
      <c r="B370" t="s">
        <v>293</v>
      </c>
      <c r="C370" t="s">
        <v>913</v>
      </c>
      <c r="D370" t="s">
        <v>22</v>
      </c>
      <c r="E370" t="s">
        <v>23</v>
      </c>
      <c r="F370">
        <v>3</v>
      </c>
      <c r="G370" t="s">
        <v>12</v>
      </c>
      <c r="H370" s="4">
        <v>0.7368055555555556</v>
      </c>
      <c r="I370" s="5">
        <v>44116</v>
      </c>
    </row>
    <row r="371" spans="1:9" x14ac:dyDescent="0.3">
      <c r="A371" t="s">
        <v>914</v>
      </c>
      <c r="B371" t="s">
        <v>446</v>
      </c>
      <c r="C371" t="s">
        <v>915</v>
      </c>
      <c r="D371" t="s">
        <v>68</v>
      </c>
      <c r="E371" t="s">
        <v>69</v>
      </c>
      <c r="F371">
        <v>6</v>
      </c>
      <c r="G371" t="s">
        <v>18</v>
      </c>
      <c r="H371" s="4">
        <v>0.47222222222222227</v>
      </c>
      <c r="I371" s="5">
        <v>44151</v>
      </c>
    </row>
    <row r="372" spans="1:9" x14ac:dyDescent="0.3">
      <c r="A372" t="s">
        <v>916</v>
      </c>
      <c r="B372" t="s">
        <v>917</v>
      </c>
      <c r="C372" t="s">
        <v>918</v>
      </c>
      <c r="D372" t="s">
        <v>22</v>
      </c>
      <c r="E372" t="s">
        <v>32</v>
      </c>
      <c r="F372">
        <v>7</v>
      </c>
      <c r="G372" t="s">
        <v>47</v>
      </c>
      <c r="H372" s="4">
        <v>0.91736111111111107</v>
      </c>
      <c r="I372" s="5">
        <v>44136</v>
      </c>
    </row>
    <row r="373" spans="1:9" x14ac:dyDescent="0.3">
      <c r="A373" t="s">
        <v>919</v>
      </c>
      <c r="B373" t="s">
        <v>616</v>
      </c>
      <c r="C373" t="s">
        <v>800</v>
      </c>
      <c r="D373" t="s">
        <v>79</v>
      </c>
      <c r="E373" t="s">
        <v>27</v>
      </c>
      <c r="F373">
        <v>7</v>
      </c>
      <c r="G373" t="s">
        <v>12</v>
      </c>
      <c r="H373" s="4">
        <v>0.43611111111111112</v>
      </c>
      <c r="I373" s="5">
        <v>44099</v>
      </c>
    </row>
    <row r="374" spans="1:9" x14ac:dyDescent="0.3">
      <c r="A374" t="s">
        <v>920</v>
      </c>
      <c r="B374" t="s">
        <v>341</v>
      </c>
      <c r="C374" t="s">
        <v>480</v>
      </c>
      <c r="D374" t="s">
        <v>76</v>
      </c>
      <c r="E374" t="s">
        <v>11</v>
      </c>
      <c r="F374">
        <v>10</v>
      </c>
      <c r="G374" t="s">
        <v>18</v>
      </c>
      <c r="H374" s="4">
        <v>0.68541666666666667</v>
      </c>
      <c r="I374" s="5">
        <v>43848</v>
      </c>
    </row>
    <row r="375" spans="1:9" x14ac:dyDescent="0.3">
      <c r="A375" t="s">
        <v>921</v>
      </c>
      <c r="B375" t="s">
        <v>511</v>
      </c>
      <c r="C375" t="s">
        <v>922</v>
      </c>
      <c r="D375" t="s">
        <v>51</v>
      </c>
      <c r="E375" t="s">
        <v>11</v>
      </c>
      <c r="F375">
        <v>8</v>
      </c>
      <c r="G375" t="s">
        <v>18</v>
      </c>
      <c r="H375" s="4">
        <v>0.80833333333333324</v>
      </c>
      <c r="I375" s="5">
        <v>44038</v>
      </c>
    </row>
    <row r="376" spans="1:9" x14ac:dyDescent="0.3">
      <c r="A376" t="s">
        <v>923</v>
      </c>
      <c r="B376" t="s">
        <v>924</v>
      </c>
      <c r="C376" t="s">
        <v>494</v>
      </c>
      <c r="D376" t="s">
        <v>79</v>
      </c>
      <c r="E376" t="s">
        <v>11</v>
      </c>
      <c r="F376">
        <v>6</v>
      </c>
      <c r="G376" t="s">
        <v>47</v>
      </c>
      <c r="H376" s="4">
        <v>0.92152777777777783</v>
      </c>
      <c r="I376" s="5">
        <v>44111</v>
      </c>
    </row>
    <row r="377" spans="1:9" x14ac:dyDescent="0.3">
      <c r="A377" t="s">
        <v>925</v>
      </c>
      <c r="B377" t="s">
        <v>86</v>
      </c>
      <c r="C377" t="s">
        <v>926</v>
      </c>
      <c r="D377" t="s">
        <v>63</v>
      </c>
      <c r="E377" t="s">
        <v>91</v>
      </c>
      <c r="F377">
        <v>10</v>
      </c>
      <c r="G377" t="s">
        <v>47</v>
      </c>
      <c r="H377" s="4">
        <v>0.95486111111111116</v>
      </c>
      <c r="I377" s="5">
        <v>44188</v>
      </c>
    </row>
    <row r="378" spans="1:9" x14ac:dyDescent="0.3">
      <c r="A378" t="s">
        <v>927</v>
      </c>
      <c r="B378" t="s">
        <v>928</v>
      </c>
      <c r="C378" t="s">
        <v>929</v>
      </c>
      <c r="D378" t="s">
        <v>10</v>
      </c>
      <c r="E378" t="s">
        <v>91</v>
      </c>
      <c r="F378">
        <v>9</v>
      </c>
      <c r="G378" t="s">
        <v>12</v>
      </c>
      <c r="H378" s="4">
        <v>0.7368055555555556</v>
      </c>
      <c r="I378" s="5">
        <v>43917</v>
      </c>
    </row>
    <row r="379" spans="1:9" x14ac:dyDescent="0.3">
      <c r="A379" t="s">
        <v>930</v>
      </c>
      <c r="B379" t="s">
        <v>125</v>
      </c>
      <c r="C379" t="s">
        <v>931</v>
      </c>
      <c r="D379" t="s">
        <v>16</v>
      </c>
      <c r="E379" t="s">
        <v>105</v>
      </c>
      <c r="F379">
        <v>5</v>
      </c>
      <c r="G379" t="s">
        <v>47</v>
      </c>
      <c r="H379" s="4">
        <v>0.47222222222222227</v>
      </c>
      <c r="I379" s="5">
        <v>43850</v>
      </c>
    </row>
    <row r="380" spans="1:9" x14ac:dyDescent="0.3">
      <c r="A380" t="s">
        <v>932</v>
      </c>
      <c r="B380" t="s">
        <v>176</v>
      </c>
      <c r="C380" t="s">
        <v>933</v>
      </c>
      <c r="D380" t="s">
        <v>76</v>
      </c>
      <c r="E380" t="s">
        <v>17</v>
      </c>
      <c r="F380">
        <v>4</v>
      </c>
      <c r="G380" t="s">
        <v>47</v>
      </c>
      <c r="H380" s="4">
        <v>0.91736111111111107</v>
      </c>
      <c r="I380" s="5">
        <v>44108</v>
      </c>
    </row>
    <row r="381" spans="1:9" x14ac:dyDescent="0.3">
      <c r="A381" t="s">
        <v>934</v>
      </c>
      <c r="B381" t="s">
        <v>616</v>
      </c>
      <c r="C381" t="s">
        <v>935</v>
      </c>
      <c r="D381" t="s">
        <v>31</v>
      </c>
      <c r="E381" t="s">
        <v>64</v>
      </c>
      <c r="F381">
        <v>9</v>
      </c>
      <c r="G381" t="s">
        <v>12</v>
      </c>
      <c r="H381" s="4">
        <v>0.43611111111111112</v>
      </c>
      <c r="I381" s="5">
        <v>44148</v>
      </c>
    </row>
    <row r="382" spans="1:9" x14ac:dyDescent="0.3">
      <c r="A382" t="s">
        <v>936</v>
      </c>
      <c r="B382" t="s">
        <v>122</v>
      </c>
      <c r="C382" t="s">
        <v>937</v>
      </c>
      <c r="D382" t="s">
        <v>63</v>
      </c>
      <c r="E382" t="s">
        <v>36</v>
      </c>
      <c r="F382">
        <v>6</v>
      </c>
      <c r="G382" t="s">
        <v>12</v>
      </c>
      <c r="H382" s="4">
        <v>0.68541666666666667</v>
      </c>
      <c r="I382" s="5">
        <v>43974</v>
      </c>
    </row>
    <row r="383" spans="1:9" x14ac:dyDescent="0.3">
      <c r="A383" t="s">
        <v>938</v>
      </c>
      <c r="B383" t="s">
        <v>614</v>
      </c>
      <c r="C383" t="s">
        <v>939</v>
      </c>
      <c r="D383" t="s">
        <v>22</v>
      </c>
      <c r="E383" t="s">
        <v>23</v>
      </c>
      <c r="F383">
        <v>7</v>
      </c>
      <c r="G383" t="s">
        <v>47</v>
      </c>
      <c r="H383" s="4">
        <v>0.80833333333333324</v>
      </c>
      <c r="I383" s="5">
        <v>43917</v>
      </c>
    </row>
    <row r="384" spans="1:9" x14ac:dyDescent="0.3">
      <c r="A384" t="s">
        <v>940</v>
      </c>
      <c r="B384" t="s">
        <v>171</v>
      </c>
      <c r="C384" t="s">
        <v>941</v>
      </c>
      <c r="D384" t="s">
        <v>51</v>
      </c>
      <c r="E384" t="s">
        <v>130</v>
      </c>
      <c r="F384">
        <v>4</v>
      </c>
      <c r="G384" t="s">
        <v>47</v>
      </c>
      <c r="H384" s="4">
        <v>0.92152777777777783</v>
      </c>
      <c r="I384" s="5">
        <v>43863</v>
      </c>
    </row>
    <row r="385" spans="1:9" x14ac:dyDescent="0.3">
      <c r="A385" t="s">
        <v>942</v>
      </c>
      <c r="B385" t="s">
        <v>943</v>
      </c>
      <c r="C385" t="s">
        <v>944</v>
      </c>
      <c r="D385" t="s">
        <v>10</v>
      </c>
      <c r="E385" t="s">
        <v>84</v>
      </c>
      <c r="F385">
        <v>3</v>
      </c>
      <c r="G385" t="s">
        <v>18</v>
      </c>
      <c r="H385" s="4">
        <v>0.95486111111111116</v>
      </c>
      <c r="I385" s="5">
        <v>43868</v>
      </c>
    </row>
    <row r="386" spans="1:9" x14ac:dyDescent="0.3">
      <c r="A386" t="s">
        <v>945</v>
      </c>
      <c r="B386" t="s">
        <v>349</v>
      </c>
      <c r="C386" t="s">
        <v>946</v>
      </c>
      <c r="D386" t="s">
        <v>79</v>
      </c>
      <c r="E386" t="s">
        <v>40</v>
      </c>
      <c r="F386">
        <v>8</v>
      </c>
      <c r="G386" t="s">
        <v>47</v>
      </c>
      <c r="H386" s="4">
        <v>0.7368055555555556</v>
      </c>
      <c r="I386" s="5">
        <v>43873</v>
      </c>
    </row>
    <row r="387" spans="1:9" x14ac:dyDescent="0.3">
      <c r="A387" t="s">
        <v>947</v>
      </c>
      <c r="B387" t="s">
        <v>948</v>
      </c>
      <c r="C387" t="s">
        <v>949</v>
      </c>
      <c r="D387" t="s">
        <v>31</v>
      </c>
      <c r="E387" t="s">
        <v>69</v>
      </c>
      <c r="F387">
        <v>5</v>
      </c>
      <c r="G387" t="s">
        <v>18</v>
      </c>
      <c r="H387" s="4">
        <v>0.47222222222222227</v>
      </c>
      <c r="I387" s="5">
        <v>43847</v>
      </c>
    </row>
    <row r="388" spans="1:9" x14ac:dyDescent="0.3">
      <c r="A388" t="s">
        <v>950</v>
      </c>
      <c r="B388" t="s">
        <v>951</v>
      </c>
      <c r="C388" t="s">
        <v>449</v>
      </c>
      <c r="D388" t="s">
        <v>51</v>
      </c>
      <c r="E388" t="s">
        <v>105</v>
      </c>
      <c r="F388">
        <v>9</v>
      </c>
      <c r="G388" t="s">
        <v>12</v>
      </c>
      <c r="H388" s="4">
        <v>0.91736111111111107</v>
      </c>
      <c r="I388" s="5">
        <v>43992</v>
      </c>
    </row>
    <row r="389" spans="1:9" x14ac:dyDescent="0.3">
      <c r="A389" t="s">
        <v>952</v>
      </c>
      <c r="B389" t="s">
        <v>953</v>
      </c>
      <c r="C389" t="s">
        <v>157</v>
      </c>
      <c r="D389" t="s">
        <v>51</v>
      </c>
      <c r="E389" t="s">
        <v>17</v>
      </c>
      <c r="F389">
        <v>4</v>
      </c>
      <c r="G389" t="s">
        <v>189</v>
      </c>
      <c r="H389" s="4">
        <v>0.43611111111111112</v>
      </c>
      <c r="I389" s="5">
        <v>43952</v>
      </c>
    </row>
    <row r="390" spans="1:9" x14ac:dyDescent="0.3">
      <c r="A390" t="s">
        <v>954</v>
      </c>
      <c r="B390" t="s">
        <v>349</v>
      </c>
      <c r="C390" t="s">
        <v>202</v>
      </c>
      <c r="D390" t="s">
        <v>31</v>
      </c>
      <c r="E390" t="s">
        <v>36</v>
      </c>
      <c r="F390">
        <v>6</v>
      </c>
      <c r="G390" t="s">
        <v>47</v>
      </c>
      <c r="H390" s="4">
        <v>0.68541666666666667</v>
      </c>
      <c r="I390" s="5">
        <v>44112</v>
      </c>
    </row>
    <row r="391" spans="1:9" x14ac:dyDescent="0.3">
      <c r="A391" t="s">
        <v>955</v>
      </c>
      <c r="B391" t="s">
        <v>8</v>
      </c>
      <c r="C391" t="s">
        <v>956</v>
      </c>
      <c r="D391" t="s">
        <v>16</v>
      </c>
      <c r="E391" t="s">
        <v>130</v>
      </c>
      <c r="F391">
        <v>7</v>
      </c>
      <c r="G391" t="s">
        <v>47</v>
      </c>
      <c r="H391" s="4">
        <v>0.80833333333333324</v>
      </c>
      <c r="I391" s="5">
        <v>44035</v>
      </c>
    </row>
    <row r="392" spans="1:9" x14ac:dyDescent="0.3">
      <c r="A392" t="s">
        <v>957</v>
      </c>
      <c r="B392" t="s">
        <v>89</v>
      </c>
      <c r="C392" t="s">
        <v>900</v>
      </c>
      <c r="D392" t="s">
        <v>31</v>
      </c>
      <c r="E392" t="s">
        <v>32</v>
      </c>
      <c r="F392">
        <v>5</v>
      </c>
      <c r="G392" t="s">
        <v>47</v>
      </c>
      <c r="H392" s="4">
        <v>0.92152777777777783</v>
      </c>
      <c r="I392" s="5">
        <v>44148</v>
      </c>
    </row>
    <row r="393" spans="1:9" x14ac:dyDescent="0.3">
      <c r="A393" t="s">
        <v>958</v>
      </c>
      <c r="B393" t="s">
        <v>212</v>
      </c>
      <c r="C393" t="s">
        <v>959</v>
      </c>
      <c r="D393" t="s">
        <v>68</v>
      </c>
      <c r="E393" t="s">
        <v>69</v>
      </c>
      <c r="F393">
        <v>3</v>
      </c>
      <c r="G393" t="s">
        <v>47</v>
      </c>
      <c r="H393" s="4">
        <v>0.95486111111111116</v>
      </c>
      <c r="I393" s="5">
        <v>44145</v>
      </c>
    </row>
    <row r="394" spans="1:9" x14ac:dyDescent="0.3">
      <c r="A394" t="s">
        <v>960</v>
      </c>
      <c r="B394" t="s">
        <v>349</v>
      </c>
      <c r="C394" t="s">
        <v>961</v>
      </c>
      <c r="D394" t="s">
        <v>22</v>
      </c>
      <c r="E394" t="s">
        <v>80</v>
      </c>
      <c r="F394">
        <v>6</v>
      </c>
      <c r="G394" t="s">
        <v>47</v>
      </c>
      <c r="H394" s="4">
        <v>0.7368055555555556</v>
      </c>
      <c r="I394" s="5">
        <v>44022</v>
      </c>
    </row>
    <row r="395" spans="1:9" x14ac:dyDescent="0.3">
      <c r="A395" t="s">
        <v>962</v>
      </c>
      <c r="B395" t="s">
        <v>176</v>
      </c>
      <c r="C395" t="s">
        <v>383</v>
      </c>
      <c r="D395" t="s">
        <v>10</v>
      </c>
      <c r="E395" t="s">
        <v>84</v>
      </c>
      <c r="F395">
        <v>9</v>
      </c>
      <c r="G395" t="s">
        <v>12</v>
      </c>
      <c r="H395" s="4">
        <v>0.47222222222222227</v>
      </c>
      <c r="I395" s="5">
        <v>43883</v>
      </c>
    </row>
    <row r="396" spans="1:9" x14ac:dyDescent="0.3">
      <c r="A396" t="s">
        <v>963</v>
      </c>
      <c r="B396" t="s">
        <v>964</v>
      </c>
      <c r="C396" t="s">
        <v>965</v>
      </c>
      <c r="D396" t="s">
        <v>63</v>
      </c>
      <c r="E396" t="s">
        <v>91</v>
      </c>
      <c r="F396">
        <v>3</v>
      </c>
      <c r="G396" t="s">
        <v>47</v>
      </c>
      <c r="H396" s="4">
        <v>0.91736111111111107</v>
      </c>
      <c r="I396" s="5">
        <v>43882</v>
      </c>
    </row>
    <row r="397" spans="1:9" x14ac:dyDescent="0.3">
      <c r="A397" t="s">
        <v>966</v>
      </c>
      <c r="B397" t="s">
        <v>967</v>
      </c>
      <c r="C397" t="s">
        <v>968</v>
      </c>
      <c r="D397" t="s">
        <v>79</v>
      </c>
      <c r="E397" t="s">
        <v>84</v>
      </c>
      <c r="F397">
        <v>6</v>
      </c>
      <c r="G397" t="s">
        <v>18</v>
      </c>
      <c r="H397" s="4">
        <v>0.43611111111111112</v>
      </c>
      <c r="I397" s="5">
        <v>43856</v>
      </c>
    </row>
    <row r="398" spans="1:9" x14ac:dyDescent="0.3">
      <c r="A398" t="s">
        <v>969</v>
      </c>
      <c r="B398" t="s">
        <v>71</v>
      </c>
      <c r="C398" t="s">
        <v>970</v>
      </c>
      <c r="D398" t="s">
        <v>51</v>
      </c>
      <c r="E398" t="s">
        <v>84</v>
      </c>
      <c r="F398">
        <v>3</v>
      </c>
      <c r="G398" t="s">
        <v>47</v>
      </c>
      <c r="H398" s="4">
        <v>0.68541666666666667</v>
      </c>
      <c r="I398" s="5">
        <v>44159</v>
      </c>
    </row>
    <row r="399" spans="1:9" x14ac:dyDescent="0.3">
      <c r="A399" t="s">
        <v>971</v>
      </c>
      <c r="B399" t="s">
        <v>496</v>
      </c>
      <c r="C399" t="s">
        <v>722</v>
      </c>
      <c r="D399" t="s">
        <v>63</v>
      </c>
      <c r="E399" t="s">
        <v>69</v>
      </c>
      <c r="F399">
        <v>7</v>
      </c>
      <c r="G399" t="s">
        <v>12</v>
      </c>
      <c r="H399" s="4">
        <v>0.80833333333333324</v>
      </c>
      <c r="I399" s="5">
        <v>44085</v>
      </c>
    </row>
    <row r="400" spans="1:9" x14ac:dyDescent="0.3">
      <c r="A400" t="s">
        <v>972</v>
      </c>
      <c r="B400" t="s">
        <v>657</v>
      </c>
      <c r="C400" t="s">
        <v>202</v>
      </c>
      <c r="D400" t="s">
        <v>31</v>
      </c>
      <c r="E400" t="s">
        <v>23</v>
      </c>
      <c r="F400">
        <v>9</v>
      </c>
      <c r="G400" t="s">
        <v>47</v>
      </c>
      <c r="H400" s="4">
        <v>0.92152777777777783</v>
      </c>
      <c r="I400" s="5">
        <v>43884</v>
      </c>
    </row>
    <row r="401" spans="1:9" x14ac:dyDescent="0.3">
      <c r="A401" t="s">
        <v>973</v>
      </c>
      <c r="B401" t="s">
        <v>974</v>
      </c>
      <c r="C401" t="s">
        <v>975</v>
      </c>
      <c r="D401" t="s">
        <v>10</v>
      </c>
      <c r="E401" t="s">
        <v>64</v>
      </c>
      <c r="F401">
        <v>5</v>
      </c>
      <c r="G401" t="s">
        <v>12</v>
      </c>
      <c r="H401" s="4">
        <v>0.95486111111111116</v>
      </c>
      <c r="I401" s="5">
        <v>44052</v>
      </c>
    </row>
    <row r="402" spans="1:9" x14ac:dyDescent="0.3">
      <c r="A402" t="s">
        <v>976</v>
      </c>
      <c r="B402" t="s">
        <v>977</v>
      </c>
      <c r="C402" t="s">
        <v>978</v>
      </c>
      <c r="D402" t="s">
        <v>51</v>
      </c>
      <c r="E402" t="s">
        <v>40</v>
      </c>
      <c r="F402">
        <v>7</v>
      </c>
      <c r="G402" t="s">
        <v>47</v>
      </c>
      <c r="H402" s="4">
        <v>0.7368055555555556</v>
      </c>
      <c r="I402" s="5">
        <v>44150</v>
      </c>
    </row>
    <row r="403" spans="1:9" x14ac:dyDescent="0.3">
      <c r="A403" t="s">
        <v>979</v>
      </c>
      <c r="B403" t="s">
        <v>980</v>
      </c>
      <c r="C403" t="s">
        <v>767</v>
      </c>
      <c r="D403" t="s">
        <v>79</v>
      </c>
      <c r="E403" t="s">
        <v>40</v>
      </c>
      <c r="F403">
        <v>7</v>
      </c>
      <c r="G403" t="s">
        <v>47</v>
      </c>
      <c r="H403" s="4">
        <v>0.47222222222222227</v>
      </c>
      <c r="I403" s="5">
        <v>43958</v>
      </c>
    </row>
    <row r="404" spans="1:9" x14ac:dyDescent="0.3">
      <c r="A404" t="s">
        <v>981</v>
      </c>
      <c r="B404" t="s">
        <v>252</v>
      </c>
      <c r="C404" t="s">
        <v>982</v>
      </c>
      <c r="D404" t="s">
        <v>68</v>
      </c>
      <c r="E404" t="s">
        <v>32</v>
      </c>
      <c r="F404">
        <v>5</v>
      </c>
      <c r="G404" t="s">
        <v>18</v>
      </c>
      <c r="H404" s="4">
        <v>0.91736111111111107</v>
      </c>
      <c r="I404" s="5">
        <v>44046</v>
      </c>
    </row>
    <row r="405" spans="1:9" x14ac:dyDescent="0.3">
      <c r="A405" t="s">
        <v>983</v>
      </c>
      <c r="B405" t="s">
        <v>984</v>
      </c>
      <c r="C405" t="s">
        <v>985</v>
      </c>
      <c r="D405" t="s">
        <v>76</v>
      </c>
      <c r="E405" t="s">
        <v>36</v>
      </c>
      <c r="F405">
        <v>9</v>
      </c>
      <c r="G405" t="s">
        <v>47</v>
      </c>
      <c r="H405" s="4">
        <v>0.43611111111111112</v>
      </c>
      <c r="I405" s="5">
        <v>44173</v>
      </c>
    </row>
    <row r="406" spans="1:9" x14ac:dyDescent="0.3">
      <c r="A406" t="s">
        <v>986</v>
      </c>
      <c r="B406" t="s">
        <v>987</v>
      </c>
      <c r="C406" t="s">
        <v>988</v>
      </c>
      <c r="D406" t="s">
        <v>22</v>
      </c>
      <c r="E406" t="s">
        <v>69</v>
      </c>
      <c r="F406">
        <v>10</v>
      </c>
      <c r="G406" t="s">
        <v>47</v>
      </c>
      <c r="H406" s="4">
        <v>0.68541666666666667</v>
      </c>
      <c r="I406" s="5">
        <v>44162</v>
      </c>
    </row>
    <row r="407" spans="1:9" x14ac:dyDescent="0.3">
      <c r="A407" t="s">
        <v>989</v>
      </c>
      <c r="B407" t="s">
        <v>315</v>
      </c>
      <c r="C407" t="s">
        <v>868</v>
      </c>
      <c r="D407" t="s">
        <v>63</v>
      </c>
      <c r="E407" t="s">
        <v>40</v>
      </c>
      <c r="F407">
        <v>6</v>
      </c>
      <c r="G407" t="s">
        <v>47</v>
      </c>
      <c r="H407" s="4">
        <v>0.80833333333333324</v>
      </c>
      <c r="I407" s="5">
        <v>44004</v>
      </c>
    </row>
    <row r="408" spans="1:9" x14ac:dyDescent="0.3">
      <c r="A408" t="s">
        <v>990</v>
      </c>
      <c r="B408" t="s">
        <v>387</v>
      </c>
      <c r="C408" t="s">
        <v>991</v>
      </c>
      <c r="D408" t="s">
        <v>63</v>
      </c>
      <c r="E408" t="s">
        <v>32</v>
      </c>
      <c r="F408">
        <v>7</v>
      </c>
      <c r="G408" t="s">
        <v>47</v>
      </c>
      <c r="H408" s="4">
        <v>0.92152777777777783</v>
      </c>
      <c r="I408" s="5">
        <v>44175</v>
      </c>
    </row>
    <row r="409" spans="1:9" x14ac:dyDescent="0.3">
      <c r="A409" t="s">
        <v>992</v>
      </c>
      <c r="B409" t="s">
        <v>408</v>
      </c>
      <c r="C409" t="s">
        <v>993</v>
      </c>
      <c r="D409" t="s">
        <v>63</v>
      </c>
      <c r="E409" t="s">
        <v>40</v>
      </c>
      <c r="F409">
        <v>10</v>
      </c>
      <c r="G409" t="s">
        <v>47</v>
      </c>
      <c r="H409" s="4">
        <v>0.95486111111111116</v>
      </c>
      <c r="I409" s="5">
        <v>44023</v>
      </c>
    </row>
    <row r="410" spans="1:9" x14ac:dyDescent="0.3">
      <c r="A410" t="s">
        <v>994</v>
      </c>
      <c r="B410" t="s">
        <v>395</v>
      </c>
      <c r="C410" t="s">
        <v>452</v>
      </c>
      <c r="D410" t="s">
        <v>22</v>
      </c>
      <c r="E410" t="s">
        <v>84</v>
      </c>
      <c r="F410">
        <v>8</v>
      </c>
      <c r="G410" t="s">
        <v>47</v>
      </c>
      <c r="H410" s="4">
        <v>0.7368055555555556</v>
      </c>
      <c r="I410" s="5">
        <v>44115</v>
      </c>
    </row>
    <row r="411" spans="1:9" x14ac:dyDescent="0.3">
      <c r="A411" t="s">
        <v>995</v>
      </c>
      <c r="B411" t="s">
        <v>984</v>
      </c>
      <c r="C411" t="s">
        <v>996</v>
      </c>
      <c r="D411" t="s">
        <v>68</v>
      </c>
      <c r="E411" t="s">
        <v>69</v>
      </c>
      <c r="F411">
        <v>8</v>
      </c>
      <c r="G411" t="s">
        <v>18</v>
      </c>
      <c r="H411" s="4">
        <v>0.47222222222222227</v>
      </c>
      <c r="I411" s="5">
        <v>43956</v>
      </c>
    </row>
    <row r="412" spans="1:9" x14ac:dyDescent="0.3">
      <c r="A412" t="s">
        <v>997</v>
      </c>
      <c r="B412" t="s">
        <v>266</v>
      </c>
      <c r="C412" t="s">
        <v>319</v>
      </c>
      <c r="D412" t="s">
        <v>76</v>
      </c>
      <c r="E412" t="s">
        <v>80</v>
      </c>
      <c r="F412">
        <v>4</v>
      </c>
      <c r="G412" t="s">
        <v>47</v>
      </c>
      <c r="H412" s="4">
        <v>0.91736111111111107</v>
      </c>
      <c r="I412" s="5">
        <v>44007</v>
      </c>
    </row>
    <row r="413" spans="1:9" x14ac:dyDescent="0.3">
      <c r="A413" t="s">
        <v>998</v>
      </c>
      <c r="B413" t="s">
        <v>999</v>
      </c>
      <c r="C413" t="s">
        <v>697</v>
      </c>
      <c r="D413" t="s">
        <v>79</v>
      </c>
      <c r="E413" t="s">
        <v>32</v>
      </c>
      <c r="F413">
        <v>6</v>
      </c>
      <c r="G413" t="s">
        <v>18</v>
      </c>
      <c r="H413" s="4">
        <v>0.43611111111111112</v>
      </c>
      <c r="I413" s="5">
        <v>43840</v>
      </c>
    </row>
    <row r="414" spans="1:9" x14ac:dyDescent="0.3">
      <c r="A414" t="s">
        <v>1000</v>
      </c>
      <c r="B414" t="s">
        <v>855</v>
      </c>
      <c r="C414" t="s">
        <v>1001</v>
      </c>
      <c r="D414" t="s">
        <v>79</v>
      </c>
      <c r="E414" t="s">
        <v>40</v>
      </c>
      <c r="F414">
        <v>5</v>
      </c>
      <c r="G414" t="s">
        <v>18</v>
      </c>
      <c r="H414" s="4">
        <v>0.68541666666666667</v>
      </c>
      <c r="I414" s="5">
        <v>43914</v>
      </c>
    </row>
    <row r="415" spans="1:9" x14ac:dyDescent="0.3">
      <c r="A415" t="s">
        <v>1002</v>
      </c>
      <c r="B415" t="s">
        <v>176</v>
      </c>
      <c r="C415" t="s">
        <v>1003</v>
      </c>
      <c r="D415" t="s">
        <v>68</v>
      </c>
      <c r="E415" t="s">
        <v>32</v>
      </c>
      <c r="F415">
        <v>9</v>
      </c>
      <c r="G415" t="s">
        <v>47</v>
      </c>
      <c r="H415" s="4">
        <v>0.80833333333333324</v>
      </c>
      <c r="I415" s="5">
        <v>43862</v>
      </c>
    </row>
    <row r="416" spans="1:9" x14ac:dyDescent="0.3">
      <c r="A416" t="s">
        <v>1004</v>
      </c>
      <c r="B416" t="s">
        <v>763</v>
      </c>
      <c r="C416" t="s">
        <v>362</v>
      </c>
      <c r="D416" t="s">
        <v>68</v>
      </c>
      <c r="E416" t="s">
        <v>32</v>
      </c>
      <c r="F416">
        <v>8</v>
      </c>
      <c r="G416" t="s">
        <v>47</v>
      </c>
      <c r="H416" s="4">
        <v>0.92152777777777783</v>
      </c>
      <c r="I416" s="5">
        <v>43887</v>
      </c>
    </row>
    <row r="417" spans="1:9" x14ac:dyDescent="0.3">
      <c r="A417" t="s">
        <v>1005</v>
      </c>
      <c r="B417" t="s">
        <v>1006</v>
      </c>
      <c r="C417" t="s">
        <v>1007</v>
      </c>
      <c r="D417" t="s">
        <v>79</v>
      </c>
      <c r="E417" t="s">
        <v>17</v>
      </c>
      <c r="F417">
        <v>9</v>
      </c>
      <c r="G417" t="s">
        <v>12</v>
      </c>
      <c r="H417" s="4">
        <v>0.95486111111111116</v>
      </c>
      <c r="I417" s="5">
        <v>44131</v>
      </c>
    </row>
    <row r="418" spans="1:9" x14ac:dyDescent="0.3">
      <c r="A418" t="s">
        <v>1008</v>
      </c>
      <c r="B418" t="s">
        <v>125</v>
      </c>
      <c r="C418" t="s">
        <v>761</v>
      </c>
      <c r="D418" t="s">
        <v>31</v>
      </c>
      <c r="E418" t="s">
        <v>69</v>
      </c>
      <c r="F418">
        <v>4</v>
      </c>
      <c r="G418" t="s">
        <v>47</v>
      </c>
      <c r="H418" s="4">
        <v>0.7368055555555556</v>
      </c>
      <c r="I418" s="5">
        <v>44108</v>
      </c>
    </row>
    <row r="419" spans="1:9" x14ac:dyDescent="0.3">
      <c r="A419" t="s">
        <v>1009</v>
      </c>
      <c r="B419" t="s">
        <v>1010</v>
      </c>
      <c r="C419" t="s">
        <v>357</v>
      </c>
      <c r="D419" t="s">
        <v>68</v>
      </c>
      <c r="E419" t="s">
        <v>80</v>
      </c>
      <c r="F419">
        <v>7</v>
      </c>
      <c r="G419" t="s">
        <v>47</v>
      </c>
      <c r="H419" s="4">
        <v>0.47222222222222227</v>
      </c>
      <c r="I419" s="5">
        <v>43887</v>
      </c>
    </row>
    <row r="420" spans="1:9" x14ac:dyDescent="0.3">
      <c r="A420" t="s">
        <v>1011</v>
      </c>
      <c r="B420" t="s">
        <v>1012</v>
      </c>
      <c r="C420" t="s">
        <v>562</v>
      </c>
      <c r="D420" t="s">
        <v>31</v>
      </c>
      <c r="E420" t="s">
        <v>105</v>
      </c>
      <c r="F420">
        <v>6</v>
      </c>
      <c r="G420" t="s">
        <v>18</v>
      </c>
      <c r="H420" s="4">
        <v>0.91736111111111107</v>
      </c>
      <c r="I420" s="5">
        <v>43892</v>
      </c>
    </row>
    <row r="421" spans="1:9" x14ac:dyDescent="0.3">
      <c r="A421" t="s">
        <v>1013</v>
      </c>
      <c r="B421" t="s">
        <v>1014</v>
      </c>
      <c r="C421" t="s">
        <v>1015</v>
      </c>
      <c r="D421" t="s">
        <v>51</v>
      </c>
      <c r="E421" t="s">
        <v>32</v>
      </c>
      <c r="F421">
        <v>8</v>
      </c>
      <c r="G421" t="s">
        <v>12</v>
      </c>
      <c r="H421" s="4">
        <v>0.43611111111111112</v>
      </c>
      <c r="I421" s="5">
        <v>43849</v>
      </c>
    </row>
    <row r="422" spans="1:9" x14ac:dyDescent="0.3">
      <c r="A422" t="s">
        <v>1016</v>
      </c>
      <c r="B422" t="s">
        <v>306</v>
      </c>
      <c r="C422" t="s">
        <v>316</v>
      </c>
      <c r="D422" t="s">
        <v>10</v>
      </c>
      <c r="E422" t="s">
        <v>80</v>
      </c>
      <c r="F422">
        <v>8</v>
      </c>
      <c r="G422" t="s">
        <v>47</v>
      </c>
      <c r="H422" s="4">
        <v>0.68541666666666667</v>
      </c>
      <c r="I422" s="5">
        <v>43930</v>
      </c>
    </row>
    <row r="423" spans="1:9" x14ac:dyDescent="0.3">
      <c r="A423" t="s">
        <v>1017</v>
      </c>
      <c r="B423" t="s">
        <v>144</v>
      </c>
      <c r="C423" t="s">
        <v>1018</v>
      </c>
      <c r="D423" t="s">
        <v>10</v>
      </c>
      <c r="E423" t="s">
        <v>91</v>
      </c>
      <c r="F423">
        <v>5</v>
      </c>
      <c r="G423" t="s">
        <v>47</v>
      </c>
      <c r="H423" s="4">
        <v>0.80833333333333324</v>
      </c>
      <c r="I423" s="5">
        <v>44183</v>
      </c>
    </row>
    <row r="424" spans="1:9" x14ac:dyDescent="0.3">
      <c r="A424" t="s">
        <v>1019</v>
      </c>
      <c r="B424" t="s">
        <v>759</v>
      </c>
      <c r="C424" t="s">
        <v>1020</v>
      </c>
      <c r="D424" t="s">
        <v>68</v>
      </c>
      <c r="E424" t="s">
        <v>17</v>
      </c>
      <c r="F424">
        <v>9</v>
      </c>
      <c r="G424" t="s">
        <v>18</v>
      </c>
      <c r="H424" s="4">
        <v>0.92152777777777783</v>
      </c>
      <c r="I424" s="5">
        <v>44008</v>
      </c>
    </row>
    <row r="425" spans="1:9" x14ac:dyDescent="0.3">
      <c r="A425" t="s">
        <v>1021</v>
      </c>
      <c r="B425" t="s">
        <v>1022</v>
      </c>
      <c r="C425" t="s">
        <v>1023</v>
      </c>
      <c r="D425" t="s">
        <v>51</v>
      </c>
      <c r="E425" t="s">
        <v>17</v>
      </c>
      <c r="F425">
        <v>9</v>
      </c>
      <c r="G425" t="s">
        <v>47</v>
      </c>
      <c r="H425" s="4">
        <v>0.95486111111111116</v>
      </c>
      <c r="I425" s="5">
        <v>43913</v>
      </c>
    </row>
    <row r="426" spans="1:9" x14ac:dyDescent="0.3">
      <c r="A426" t="s">
        <v>1024</v>
      </c>
      <c r="B426" t="s">
        <v>426</v>
      </c>
      <c r="C426" t="s">
        <v>271</v>
      </c>
      <c r="D426" t="s">
        <v>68</v>
      </c>
      <c r="E426" t="s">
        <v>17</v>
      </c>
      <c r="F426">
        <v>10</v>
      </c>
      <c r="G426" t="s">
        <v>47</v>
      </c>
      <c r="H426" s="4">
        <v>0.7368055555555556</v>
      </c>
      <c r="I426" s="5">
        <v>44006</v>
      </c>
    </row>
    <row r="427" spans="1:9" x14ac:dyDescent="0.3">
      <c r="A427" t="s">
        <v>1025</v>
      </c>
      <c r="B427" t="s">
        <v>1026</v>
      </c>
      <c r="C427" t="s">
        <v>104</v>
      </c>
      <c r="D427" t="s">
        <v>79</v>
      </c>
      <c r="E427" t="s">
        <v>23</v>
      </c>
      <c r="F427">
        <v>4</v>
      </c>
      <c r="G427" t="s">
        <v>47</v>
      </c>
      <c r="H427" s="4">
        <v>0.47222222222222227</v>
      </c>
      <c r="I427" s="5">
        <v>44053</v>
      </c>
    </row>
    <row r="428" spans="1:9" x14ac:dyDescent="0.3">
      <c r="A428" t="s">
        <v>1027</v>
      </c>
      <c r="B428" t="s">
        <v>653</v>
      </c>
      <c r="C428" t="s">
        <v>1028</v>
      </c>
      <c r="D428" t="s">
        <v>16</v>
      </c>
      <c r="E428" t="s">
        <v>11</v>
      </c>
      <c r="F428">
        <v>3</v>
      </c>
      <c r="G428" t="s">
        <v>47</v>
      </c>
      <c r="H428" s="4">
        <v>0.91736111111111107</v>
      </c>
      <c r="I428" s="5">
        <v>44021</v>
      </c>
    </row>
    <row r="429" spans="1:9" x14ac:dyDescent="0.3">
      <c r="A429" t="s">
        <v>1029</v>
      </c>
      <c r="B429" t="s">
        <v>266</v>
      </c>
      <c r="C429" t="s">
        <v>1030</v>
      </c>
      <c r="D429" t="s">
        <v>51</v>
      </c>
      <c r="E429" t="s">
        <v>130</v>
      </c>
      <c r="F429">
        <v>9</v>
      </c>
      <c r="G429" t="s">
        <v>47</v>
      </c>
      <c r="H429" s="4">
        <v>0.43611111111111112</v>
      </c>
      <c r="I429" s="5">
        <v>43956</v>
      </c>
    </row>
    <row r="430" spans="1:9" x14ac:dyDescent="0.3">
      <c r="A430" t="s">
        <v>1031</v>
      </c>
      <c r="B430" t="s">
        <v>1032</v>
      </c>
      <c r="C430" t="s">
        <v>1033</v>
      </c>
      <c r="D430" t="s">
        <v>76</v>
      </c>
      <c r="E430" t="s">
        <v>40</v>
      </c>
      <c r="F430">
        <v>5</v>
      </c>
      <c r="G430" t="s">
        <v>12</v>
      </c>
      <c r="H430" s="4">
        <v>0.68541666666666667</v>
      </c>
      <c r="I430" s="5">
        <v>44179</v>
      </c>
    </row>
    <row r="431" spans="1:9" x14ac:dyDescent="0.3">
      <c r="A431" t="s">
        <v>1034</v>
      </c>
      <c r="B431" t="s">
        <v>125</v>
      </c>
      <c r="C431" t="s">
        <v>145</v>
      </c>
      <c r="D431" t="s">
        <v>31</v>
      </c>
      <c r="E431" t="s">
        <v>32</v>
      </c>
      <c r="F431">
        <v>10</v>
      </c>
      <c r="G431" t="s">
        <v>12</v>
      </c>
      <c r="H431" s="4">
        <v>0.80833333333333324</v>
      </c>
      <c r="I431" s="5">
        <v>43932</v>
      </c>
    </row>
    <row r="432" spans="1:9" x14ac:dyDescent="0.3">
      <c r="A432" t="s">
        <v>1035</v>
      </c>
      <c r="B432" t="s">
        <v>349</v>
      </c>
      <c r="C432" t="s">
        <v>1036</v>
      </c>
      <c r="D432" t="s">
        <v>51</v>
      </c>
      <c r="E432" t="s">
        <v>80</v>
      </c>
      <c r="F432">
        <v>9</v>
      </c>
      <c r="G432" t="s">
        <v>12</v>
      </c>
      <c r="H432" s="4">
        <v>0.92152777777777783</v>
      </c>
      <c r="I432" s="5">
        <v>43918</v>
      </c>
    </row>
    <row r="433" spans="1:9" x14ac:dyDescent="0.3">
      <c r="A433" t="s">
        <v>1037</v>
      </c>
      <c r="B433" t="s">
        <v>1038</v>
      </c>
      <c r="C433" t="s">
        <v>944</v>
      </c>
      <c r="D433" t="s">
        <v>22</v>
      </c>
      <c r="E433" t="s">
        <v>105</v>
      </c>
      <c r="F433">
        <v>6</v>
      </c>
      <c r="G433" t="s">
        <v>12</v>
      </c>
      <c r="H433" s="4">
        <v>0.95486111111111116</v>
      </c>
      <c r="I433" s="5">
        <v>43887</v>
      </c>
    </row>
    <row r="434" spans="1:9" x14ac:dyDescent="0.3">
      <c r="A434" t="s">
        <v>1039</v>
      </c>
      <c r="B434" t="s">
        <v>1040</v>
      </c>
      <c r="C434" t="s">
        <v>580</v>
      </c>
      <c r="D434" t="s">
        <v>16</v>
      </c>
      <c r="E434" t="s">
        <v>40</v>
      </c>
      <c r="F434">
        <v>6</v>
      </c>
      <c r="G434" t="s">
        <v>47</v>
      </c>
      <c r="H434" s="4">
        <v>0.7368055555555556</v>
      </c>
      <c r="I434" s="5">
        <v>43991</v>
      </c>
    </row>
    <row r="435" spans="1:9" x14ac:dyDescent="0.3">
      <c r="A435" t="s">
        <v>1041</v>
      </c>
      <c r="B435" t="s">
        <v>616</v>
      </c>
      <c r="C435" t="s">
        <v>488</v>
      </c>
      <c r="D435" t="s">
        <v>31</v>
      </c>
      <c r="E435" t="s">
        <v>11</v>
      </c>
      <c r="F435">
        <v>6</v>
      </c>
      <c r="G435" t="s">
        <v>18</v>
      </c>
      <c r="H435" s="4">
        <v>0.47222222222222227</v>
      </c>
      <c r="I435" s="5">
        <v>44107</v>
      </c>
    </row>
    <row r="436" spans="1:9" x14ac:dyDescent="0.3">
      <c r="A436" t="s">
        <v>1042</v>
      </c>
      <c r="B436" t="s">
        <v>1043</v>
      </c>
      <c r="C436" t="s">
        <v>1044</v>
      </c>
      <c r="D436" t="s">
        <v>63</v>
      </c>
      <c r="E436" t="s">
        <v>80</v>
      </c>
      <c r="F436">
        <v>8</v>
      </c>
      <c r="G436" t="s">
        <v>12</v>
      </c>
      <c r="H436" s="4">
        <v>0.91736111111111107</v>
      </c>
      <c r="I436" s="5">
        <v>44128</v>
      </c>
    </row>
    <row r="437" spans="1:9" x14ac:dyDescent="0.3">
      <c r="A437" t="s">
        <v>1045</v>
      </c>
      <c r="B437" t="s">
        <v>830</v>
      </c>
      <c r="C437" t="s">
        <v>316</v>
      </c>
      <c r="D437" t="s">
        <v>31</v>
      </c>
      <c r="E437" t="s">
        <v>105</v>
      </c>
      <c r="F437">
        <v>9</v>
      </c>
      <c r="G437" t="s">
        <v>47</v>
      </c>
      <c r="H437" s="4">
        <v>0.43611111111111112</v>
      </c>
      <c r="I437" s="5">
        <v>44055</v>
      </c>
    </row>
    <row r="438" spans="1:9" x14ac:dyDescent="0.3">
      <c r="A438" t="s">
        <v>1046</v>
      </c>
      <c r="B438" t="s">
        <v>683</v>
      </c>
      <c r="C438" t="s">
        <v>569</v>
      </c>
      <c r="D438" t="s">
        <v>22</v>
      </c>
      <c r="E438" t="s">
        <v>64</v>
      </c>
      <c r="F438">
        <v>7</v>
      </c>
      <c r="G438" t="s">
        <v>18</v>
      </c>
      <c r="H438" s="4">
        <v>0.68541666666666667</v>
      </c>
      <c r="I438" s="5">
        <v>43958</v>
      </c>
    </row>
    <row r="439" spans="1:9" x14ac:dyDescent="0.3">
      <c r="A439" t="s">
        <v>1047</v>
      </c>
      <c r="B439" t="s">
        <v>490</v>
      </c>
      <c r="C439" t="s">
        <v>1048</v>
      </c>
      <c r="D439" t="s">
        <v>76</v>
      </c>
      <c r="E439" t="s">
        <v>130</v>
      </c>
      <c r="F439">
        <v>7</v>
      </c>
      <c r="G439" t="s">
        <v>18</v>
      </c>
      <c r="H439" s="4">
        <v>0.80833333333333324</v>
      </c>
      <c r="I439" s="5">
        <v>44070</v>
      </c>
    </row>
    <row r="440" spans="1:9" x14ac:dyDescent="0.3">
      <c r="A440" t="s">
        <v>1049</v>
      </c>
      <c r="B440" t="s">
        <v>751</v>
      </c>
      <c r="C440" t="s">
        <v>1050</v>
      </c>
      <c r="D440" t="s">
        <v>51</v>
      </c>
      <c r="E440" t="s">
        <v>91</v>
      </c>
      <c r="F440">
        <v>7</v>
      </c>
      <c r="G440" t="s">
        <v>47</v>
      </c>
      <c r="H440" s="4">
        <v>0.92152777777777783</v>
      </c>
      <c r="I440" s="5">
        <v>43933</v>
      </c>
    </row>
    <row r="441" spans="1:9" x14ac:dyDescent="0.3">
      <c r="A441" t="s">
        <v>1051</v>
      </c>
      <c r="B441" t="s">
        <v>1052</v>
      </c>
      <c r="C441" t="s">
        <v>1053</v>
      </c>
      <c r="D441" t="s">
        <v>10</v>
      </c>
      <c r="E441" t="s">
        <v>17</v>
      </c>
      <c r="F441">
        <v>6</v>
      </c>
      <c r="G441" t="s">
        <v>18</v>
      </c>
      <c r="H441" s="4">
        <v>0.95486111111111116</v>
      </c>
      <c r="I441" s="5">
        <v>44026</v>
      </c>
    </row>
    <row r="442" spans="1:9" x14ac:dyDescent="0.3">
      <c r="A442" t="s">
        <v>1054</v>
      </c>
      <c r="B442" t="s">
        <v>1055</v>
      </c>
      <c r="C442" t="s">
        <v>1056</v>
      </c>
      <c r="D442" t="s">
        <v>63</v>
      </c>
      <c r="E442" t="s">
        <v>40</v>
      </c>
      <c r="F442">
        <v>10</v>
      </c>
      <c r="G442" t="s">
        <v>47</v>
      </c>
      <c r="H442" s="4">
        <v>0.7368055555555556</v>
      </c>
      <c r="I442" s="5">
        <v>43901</v>
      </c>
    </row>
    <row r="443" spans="1:9" x14ac:dyDescent="0.3">
      <c r="A443" t="s">
        <v>1057</v>
      </c>
      <c r="B443" t="s">
        <v>616</v>
      </c>
      <c r="C443" t="s">
        <v>1058</v>
      </c>
      <c r="D443" t="s">
        <v>63</v>
      </c>
      <c r="E443" t="s">
        <v>69</v>
      </c>
      <c r="F443">
        <v>4</v>
      </c>
      <c r="G443" t="s">
        <v>189</v>
      </c>
      <c r="H443" s="4">
        <v>0.47222222222222227</v>
      </c>
      <c r="I443" s="5">
        <v>44114</v>
      </c>
    </row>
    <row r="444" spans="1:9" x14ac:dyDescent="0.3">
      <c r="A444" t="s">
        <v>1059</v>
      </c>
      <c r="B444" t="s">
        <v>236</v>
      </c>
      <c r="C444" t="s">
        <v>662</v>
      </c>
      <c r="D444" t="s">
        <v>68</v>
      </c>
      <c r="E444" t="s">
        <v>36</v>
      </c>
      <c r="F444">
        <v>5</v>
      </c>
      <c r="G444" t="s">
        <v>47</v>
      </c>
      <c r="H444" s="4">
        <v>0.91736111111111107</v>
      </c>
      <c r="I444" s="5">
        <v>44181</v>
      </c>
    </row>
    <row r="445" spans="1:9" x14ac:dyDescent="0.3">
      <c r="A445" t="s">
        <v>1060</v>
      </c>
      <c r="B445" t="s">
        <v>1061</v>
      </c>
      <c r="C445" t="s">
        <v>1062</v>
      </c>
      <c r="D445" t="s">
        <v>63</v>
      </c>
      <c r="E445" t="s">
        <v>17</v>
      </c>
      <c r="F445">
        <v>4</v>
      </c>
      <c r="G445" t="s">
        <v>47</v>
      </c>
      <c r="H445" s="4">
        <v>0.43611111111111112</v>
      </c>
      <c r="I445" s="5">
        <v>44071</v>
      </c>
    </row>
    <row r="446" spans="1:9" x14ac:dyDescent="0.3">
      <c r="A446" t="s">
        <v>1063</v>
      </c>
      <c r="B446" t="s">
        <v>1064</v>
      </c>
      <c r="C446" t="s">
        <v>1065</v>
      </c>
      <c r="D446" t="s">
        <v>22</v>
      </c>
      <c r="E446" t="s">
        <v>11</v>
      </c>
      <c r="F446">
        <v>5</v>
      </c>
      <c r="G446" t="s">
        <v>47</v>
      </c>
      <c r="H446" s="4">
        <v>0.68541666666666667</v>
      </c>
      <c r="I446" s="5">
        <v>44150</v>
      </c>
    </row>
    <row r="447" spans="1:9" x14ac:dyDescent="0.3">
      <c r="A447" t="s">
        <v>1066</v>
      </c>
      <c r="B447" t="s">
        <v>1067</v>
      </c>
      <c r="C447" t="s">
        <v>1068</v>
      </c>
      <c r="D447" t="s">
        <v>68</v>
      </c>
      <c r="E447" t="s">
        <v>40</v>
      </c>
      <c r="F447">
        <v>3</v>
      </c>
      <c r="G447" t="s">
        <v>18</v>
      </c>
      <c r="H447" s="4">
        <v>0.80833333333333324</v>
      </c>
      <c r="I447" s="5">
        <v>44047</v>
      </c>
    </row>
    <row r="448" spans="1:9" x14ac:dyDescent="0.3">
      <c r="A448" t="s">
        <v>1069</v>
      </c>
      <c r="B448" t="s">
        <v>1070</v>
      </c>
      <c r="C448" t="s">
        <v>796</v>
      </c>
      <c r="D448" t="s">
        <v>51</v>
      </c>
      <c r="E448" t="s">
        <v>11</v>
      </c>
      <c r="F448">
        <v>5</v>
      </c>
      <c r="G448" t="s">
        <v>47</v>
      </c>
      <c r="H448" s="4">
        <v>0.92152777777777783</v>
      </c>
      <c r="I448" s="5">
        <v>44089</v>
      </c>
    </row>
    <row r="449" spans="1:9" x14ac:dyDescent="0.3">
      <c r="A449" t="s">
        <v>1071</v>
      </c>
      <c r="B449" t="s">
        <v>1072</v>
      </c>
      <c r="C449" t="s">
        <v>636</v>
      </c>
      <c r="D449" t="s">
        <v>16</v>
      </c>
      <c r="E449" t="s">
        <v>84</v>
      </c>
      <c r="F449">
        <v>4</v>
      </c>
      <c r="G449" t="s">
        <v>47</v>
      </c>
      <c r="H449" s="4">
        <v>0.95486111111111116</v>
      </c>
      <c r="I449" s="5">
        <v>44100</v>
      </c>
    </row>
    <row r="450" spans="1:9" x14ac:dyDescent="0.3">
      <c r="A450" t="s">
        <v>1073</v>
      </c>
      <c r="B450" t="s">
        <v>1072</v>
      </c>
      <c r="C450" t="s">
        <v>404</v>
      </c>
      <c r="D450" t="s">
        <v>68</v>
      </c>
      <c r="E450" t="s">
        <v>91</v>
      </c>
      <c r="F450">
        <v>10</v>
      </c>
      <c r="G450" t="s">
        <v>18</v>
      </c>
      <c r="H450" s="4">
        <v>0.7368055555555556</v>
      </c>
      <c r="I450" s="5">
        <v>43834</v>
      </c>
    </row>
    <row r="451" spans="1:9" x14ac:dyDescent="0.3">
      <c r="A451" t="s">
        <v>1074</v>
      </c>
      <c r="B451" t="s">
        <v>225</v>
      </c>
      <c r="C451" t="s">
        <v>310</v>
      </c>
      <c r="D451" t="s">
        <v>31</v>
      </c>
      <c r="E451" t="s">
        <v>23</v>
      </c>
      <c r="F451">
        <v>7</v>
      </c>
      <c r="G451" t="s">
        <v>12</v>
      </c>
      <c r="H451" s="4">
        <v>0.47222222222222227</v>
      </c>
      <c r="I451" s="5">
        <v>44107</v>
      </c>
    </row>
    <row r="452" spans="1:9" x14ac:dyDescent="0.3">
      <c r="A452" t="s">
        <v>1075</v>
      </c>
      <c r="B452" t="s">
        <v>1076</v>
      </c>
      <c r="C452" t="s">
        <v>1077</v>
      </c>
      <c r="D452" t="s">
        <v>79</v>
      </c>
      <c r="E452" t="s">
        <v>84</v>
      </c>
      <c r="F452">
        <v>8</v>
      </c>
      <c r="G452" t="s">
        <v>47</v>
      </c>
      <c r="H452" s="4">
        <v>0.91736111111111107</v>
      </c>
      <c r="I452" s="5">
        <v>43880</v>
      </c>
    </row>
    <row r="453" spans="1:9" x14ac:dyDescent="0.3">
      <c r="A453" t="s">
        <v>1078</v>
      </c>
      <c r="B453" t="s">
        <v>880</v>
      </c>
      <c r="C453" t="s">
        <v>1079</v>
      </c>
      <c r="D453" t="s">
        <v>10</v>
      </c>
      <c r="E453" t="s">
        <v>40</v>
      </c>
      <c r="F453">
        <v>10</v>
      </c>
      <c r="G453" t="s">
        <v>18</v>
      </c>
      <c r="H453" s="4">
        <v>0.43611111111111112</v>
      </c>
      <c r="I453" s="5">
        <v>44149</v>
      </c>
    </row>
    <row r="454" spans="1:9" x14ac:dyDescent="0.3">
      <c r="A454" t="s">
        <v>1080</v>
      </c>
      <c r="B454" t="s">
        <v>1081</v>
      </c>
      <c r="C454" t="s">
        <v>1082</v>
      </c>
      <c r="D454" t="s">
        <v>63</v>
      </c>
      <c r="E454" t="s">
        <v>32</v>
      </c>
      <c r="F454">
        <v>5</v>
      </c>
      <c r="G454" t="s">
        <v>18</v>
      </c>
      <c r="H454" s="4">
        <v>0.68541666666666667</v>
      </c>
      <c r="I454" s="5">
        <v>44096</v>
      </c>
    </row>
    <row r="455" spans="1:9" x14ac:dyDescent="0.3">
      <c r="A455" t="s">
        <v>1083</v>
      </c>
      <c r="B455" t="s">
        <v>266</v>
      </c>
      <c r="C455" t="s">
        <v>413</v>
      </c>
      <c r="D455" t="s">
        <v>79</v>
      </c>
      <c r="E455" t="s">
        <v>91</v>
      </c>
      <c r="F455">
        <v>6</v>
      </c>
      <c r="G455" t="s">
        <v>47</v>
      </c>
      <c r="H455" s="4">
        <v>0.80833333333333324</v>
      </c>
      <c r="I455" s="5">
        <v>43901</v>
      </c>
    </row>
    <row r="456" spans="1:9" x14ac:dyDescent="0.3">
      <c r="A456" t="s">
        <v>1084</v>
      </c>
      <c r="B456" t="s">
        <v>820</v>
      </c>
      <c r="C456" t="s">
        <v>684</v>
      </c>
      <c r="D456" t="s">
        <v>51</v>
      </c>
      <c r="E456" t="s">
        <v>64</v>
      </c>
      <c r="F456">
        <v>10</v>
      </c>
      <c r="G456" t="s">
        <v>47</v>
      </c>
      <c r="H456" s="4">
        <v>0.92152777777777783</v>
      </c>
      <c r="I456" s="5">
        <v>44132</v>
      </c>
    </row>
    <row r="457" spans="1:9" x14ac:dyDescent="0.3">
      <c r="A457" t="s">
        <v>1085</v>
      </c>
      <c r="B457" t="s">
        <v>1081</v>
      </c>
      <c r="C457" t="s">
        <v>241</v>
      </c>
      <c r="D457" t="s">
        <v>51</v>
      </c>
      <c r="E457" t="s">
        <v>130</v>
      </c>
      <c r="F457">
        <v>10</v>
      </c>
      <c r="G457" t="s">
        <v>18</v>
      </c>
      <c r="H457" s="4">
        <v>0.95486111111111116</v>
      </c>
      <c r="I457" s="5">
        <v>44026</v>
      </c>
    </row>
    <row r="458" spans="1:9" x14ac:dyDescent="0.3">
      <c r="A458" t="s">
        <v>1086</v>
      </c>
      <c r="B458" t="s">
        <v>176</v>
      </c>
      <c r="C458" t="s">
        <v>1087</v>
      </c>
      <c r="D458" t="s">
        <v>16</v>
      </c>
      <c r="E458" t="s">
        <v>91</v>
      </c>
      <c r="F458">
        <v>7</v>
      </c>
      <c r="G458" t="s">
        <v>47</v>
      </c>
      <c r="H458" s="4">
        <v>0.7368055555555556</v>
      </c>
      <c r="I458" s="5">
        <v>44005</v>
      </c>
    </row>
    <row r="459" spans="1:9" x14ac:dyDescent="0.3">
      <c r="A459" t="s">
        <v>1088</v>
      </c>
      <c r="B459" t="s">
        <v>1089</v>
      </c>
      <c r="C459" t="s">
        <v>1090</v>
      </c>
      <c r="D459" t="s">
        <v>68</v>
      </c>
      <c r="E459" t="s">
        <v>32</v>
      </c>
      <c r="F459">
        <v>10</v>
      </c>
      <c r="G459" t="s">
        <v>47</v>
      </c>
      <c r="H459" s="4">
        <v>0.47222222222222227</v>
      </c>
      <c r="I459" s="5">
        <v>44044</v>
      </c>
    </row>
    <row r="460" spans="1:9" x14ac:dyDescent="0.3">
      <c r="A460" t="s">
        <v>1091</v>
      </c>
      <c r="B460" t="s">
        <v>653</v>
      </c>
      <c r="C460" t="s">
        <v>798</v>
      </c>
      <c r="D460" t="s">
        <v>79</v>
      </c>
      <c r="E460" t="s">
        <v>17</v>
      </c>
      <c r="F460">
        <v>10</v>
      </c>
      <c r="G460" t="s">
        <v>47</v>
      </c>
      <c r="H460" s="4">
        <v>0.91736111111111107</v>
      </c>
      <c r="I460" s="5">
        <v>43949</v>
      </c>
    </row>
    <row r="461" spans="1:9" x14ac:dyDescent="0.3">
      <c r="A461" t="s">
        <v>1092</v>
      </c>
      <c r="B461" t="s">
        <v>204</v>
      </c>
      <c r="C461" t="s">
        <v>687</v>
      </c>
      <c r="D461" t="s">
        <v>31</v>
      </c>
      <c r="E461" t="s">
        <v>91</v>
      </c>
      <c r="F461">
        <v>5</v>
      </c>
      <c r="G461" t="s">
        <v>18</v>
      </c>
      <c r="H461" s="4">
        <v>0.43611111111111112</v>
      </c>
      <c r="I461" s="5">
        <v>43974</v>
      </c>
    </row>
    <row r="462" spans="1:9" x14ac:dyDescent="0.3">
      <c r="A462" t="s">
        <v>1093</v>
      </c>
      <c r="B462" t="s">
        <v>426</v>
      </c>
      <c r="C462" t="s">
        <v>1094</v>
      </c>
      <c r="D462" t="s">
        <v>16</v>
      </c>
      <c r="E462" t="s">
        <v>69</v>
      </c>
      <c r="F462">
        <v>9</v>
      </c>
      <c r="G462" t="s">
        <v>12</v>
      </c>
      <c r="H462" s="4">
        <v>0.68541666666666667</v>
      </c>
      <c r="I462" s="5">
        <v>44148</v>
      </c>
    </row>
    <row r="463" spans="1:9" x14ac:dyDescent="0.3">
      <c r="A463" t="s">
        <v>1095</v>
      </c>
      <c r="B463" t="s">
        <v>739</v>
      </c>
      <c r="C463" t="s">
        <v>247</v>
      </c>
      <c r="D463" t="s">
        <v>79</v>
      </c>
      <c r="E463" t="s">
        <v>80</v>
      </c>
      <c r="F463">
        <v>3</v>
      </c>
      <c r="G463" t="s">
        <v>47</v>
      </c>
      <c r="H463" s="4">
        <v>0.80833333333333324</v>
      </c>
      <c r="I463" s="5">
        <v>43925</v>
      </c>
    </row>
    <row r="464" spans="1:9" x14ac:dyDescent="0.3">
      <c r="A464" t="s">
        <v>1096</v>
      </c>
      <c r="B464" t="s">
        <v>246</v>
      </c>
      <c r="C464" t="s">
        <v>904</v>
      </c>
      <c r="D464" t="s">
        <v>31</v>
      </c>
      <c r="E464" t="s">
        <v>80</v>
      </c>
      <c r="F464">
        <v>8</v>
      </c>
      <c r="G464" t="s">
        <v>12</v>
      </c>
      <c r="H464" s="4">
        <v>0.92152777777777783</v>
      </c>
      <c r="I464" s="5">
        <v>43953</v>
      </c>
    </row>
    <row r="465" spans="1:9" x14ac:dyDescent="0.3">
      <c r="A465" t="s">
        <v>1097</v>
      </c>
      <c r="B465" t="s">
        <v>421</v>
      </c>
      <c r="C465" t="s">
        <v>1098</v>
      </c>
      <c r="D465" t="s">
        <v>16</v>
      </c>
      <c r="E465" t="s">
        <v>80</v>
      </c>
      <c r="F465">
        <v>7</v>
      </c>
      <c r="G465" t="s">
        <v>18</v>
      </c>
      <c r="H465" s="4">
        <v>0.95486111111111116</v>
      </c>
      <c r="I465" s="5">
        <v>43992</v>
      </c>
    </row>
    <row r="466" spans="1:9" x14ac:dyDescent="0.3">
      <c r="A466" t="s">
        <v>1099</v>
      </c>
      <c r="B466" t="s">
        <v>1100</v>
      </c>
      <c r="C466" t="s">
        <v>862</v>
      </c>
      <c r="D466" t="s">
        <v>79</v>
      </c>
      <c r="E466" t="s">
        <v>130</v>
      </c>
      <c r="F466">
        <v>7</v>
      </c>
      <c r="G466" t="s">
        <v>18</v>
      </c>
      <c r="H466" s="4">
        <v>0.7368055555555556</v>
      </c>
      <c r="I466" s="5">
        <v>44045</v>
      </c>
    </row>
    <row r="467" spans="1:9" x14ac:dyDescent="0.3">
      <c r="A467" t="s">
        <v>1101</v>
      </c>
      <c r="B467" t="s">
        <v>56</v>
      </c>
      <c r="C467" t="s">
        <v>156</v>
      </c>
      <c r="D467" t="s">
        <v>16</v>
      </c>
      <c r="E467" t="s">
        <v>105</v>
      </c>
      <c r="F467">
        <v>6</v>
      </c>
      <c r="G467" t="s">
        <v>47</v>
      </c>
      <c r="H467" s="4">
        <v>0.47222222222222227</v>
      </c>
      <c r="I467" s="5">
        <v>44097</v>
      </c>
    </row>
    <row r="468" spans="1:9" x14ac:dyDescent="0.3">
      <c r="A468" t="s">
        <v>1102</v>
      </c>
      <c r="B468" t="s">
        <v>181</v>
      </c>
      <c r="C468" t="s">
        <v>253</v>
      </c>
      <c r="D468" t="s">
        <v>68</v>
      </c>
      <c r="E468" t="s">
        <v>36</v>
      </c>
      <c r="F468">
        <v>7</v>
      </c>
      <c r="G468" t="s">
        <v>18</v>
      </c>
      <c r="H468" s="4">
        <v>0.91736111111111107</v>
      </c>
      <c r="I468" s="5">
        <v>44155</v>
      </c>
    </row>
    <row r="469" spans="1:9" x14ac:dyDescent="0.3">
      <c r="A469" t="s">
        <v>1103</v>
      </c>
      <c r="B469" t="s">
        <v>194</v>
      </c>
      <c r="C469" t="s">
        <v>1104</v>
      </c>
      <c r="D469" t="s">
        <v>31</v>
      </c>
      <c r="E469" t="s">
        <v>64</v>
      </c>
      <c r="F469">
        <v>9</v>
      </c>
      <c r="G469" t="s">
        <v>47</v>
      </c>
      <c r="H469" s="4">
        <v>0.43611111111111112</v>
      </c>
      <c r="I469" s="5">
        <v>44127</v>
      </c>
    </row>
    <row r="470" spans="1:9" x14ac:dyDescent="0.3">
      <c r="A470" t="s">
        <v>1105</v>
      </c>
      <c r="B470" t="s">
        <v>552</v>
      </c>
      <c r="C470" t="s">
        <v>174</v>
      </c>
      <c r="D470" t="s">
        <v>16</v>
      </c>
      <c r="E470" t="s">
        <v>11</v>
      </c>
      <c r="F470">
        <v>7</v>
      </c>
      <c r="G470" t="s">
        <v>47</v>
      </c>
      <c r="H470" s="4">
        <v>0.68541666666666667</v>
      </c>
      <c r="I470" s="5">
        <v>44080</v>
      </c>
    </row>
    <row r="471" spans="1:9" x14ac:dyDescent="0.3">
      <c r="A471" t="s">
        <v>1106</v>
      </c>
      <c r="B471" t="s">
        <v>1107</v>
      </c>
      <c r="C471" t="s">
        <v>449</v>
      </c>
      <c r="D471" t="s">
        <v>68</v>
      </c>
      <c r="E471" t="s">
        <v>84</v>
      </c>
      <c r="F471">
        <v>6</v>
      </c>
      <c r="G471" t="s">
        <v>12</v>
      </c>
      <c r="H471" s="4">
        <v>0.80833333333333324</v>
      </c>
      <c r="I471" s="5">
        <v>43873</v>
      </c>
    </row>
    <row r="472" spans="1:9" x14ac:dyDescent="0.3">
      <c r="A472" t="s">
        <v>1108</v>
      </c>
      <c r="B472" t="s">
        <v>521</v>
      </c>
      <c r="C472" t="s">
        <v>1109</v>
      </c>
      <c r="D472" t="s">
        <v>51</v>
      </c>
      <c r="E472" t="s">
        <v>11</v>
      </c>
      <c r="F472">
        <v>3</v>
      </c>
      <c r="G472" t="s">
        <v>12</v>
      </c>
      <c r="H472" s="4">
        <v>0.92152777777777783</v>
      </c>
      <c r="I472" s="5">
        <v>44092</v>
      </c>
    </row>
    <row r="473" spans="1:9" x14ac:dyDescent="0.3">
      <c r="A473" t="s">
        <v>1110</v>
      </c>
      <c r="B473" t="s">
        <v>374</v>
      </c>
      <c r="C473" t="s">
        <v>968</v>
      </c>
      <c r="D473" t="s">
        <v>22</v>
      </c>
      <c r="E473" t="s">
        <v>27</v>
      </c>
      <c r="F473">
        <v>7</v>
      </c>
      <c r="G473" t="s">
        <v>47</v>
      </c>
      <c r="H473" s="4">
        <v>0.95486111111111116</v>
      </c>
      <c r="I473" s="5">
        <v>44149</v>
      </c>
    </row>
    <row r="474" spans="1:9" x14ac:dyDescent="0.3">
      <c r="A474" t="s">
        <v>1111</v>
      </c>
      <c r="B474" t="s">
        <v>1112</v>
      </c>
      <c r="C474" t="s">
        <v>1113</v>
      </c>
      <c r="D474" t="s">
        <v>10</v>
      </c>
      <c r="E474" t="s">
        <v>23</v>
      </c>
      <c r="F474">
        <v>9</v>
      </c>
      <c r="G474" t="s">
        <v>12</v>
      </c>
      <c r="H474" s="4">
        <v>0.7368055555555556</v>
      </c>
      <c r="I474" s="5">
        <v>44124</v>
      </c>
    </row>
    <row r="475" spans="1:9" x14ac:dyDescent="0.3">
      <c r="A475" t="s">
        <v>1114</v>
      </c>
      <c r="B475" t="s">
        <v>128</v>
      </c>
      <c r="C475" t="s">
        <v>1115</v>
      </c>
      <c r="D475" t="s">
        <v>51</v>
      </c>
      <c r="E475" t="s">
        <v>11</v>
      </c>
      <c r="F475">
        <v>6</v>
      </c>
      <c r="G475" t="s">
        <v>47</v>
      </c>
      <c r="H475" s="4">
        <v>0.47222222222222227</v>
      </c>
      <c r="I475" s="5">
        <v>43887</v>
      </c>
    </row>
    <row r="476" spans="1:9" x14ac:dyDescent="0.3">
      <c r="A476" t="s">
        <v>1116</v>
      </c>
      <c r="B476" t="s">
        <v>204</v>
      </c>
      <c r="C476" t="s">
        <v>1117</v>
      </c>
      <c r="D476" t="s">
        <v>31</v>
      </c>
      <c r="E476" t="s">
        <v>69</v>
      </c>
      <c r="F476">
        <v>9</v>
      </c>
      <c r="G476" t="s">
        <v>47</v>
      </c>
      <c r="H476" s="4">
        <v>0.91736111111111107</v>
      </c>
      <c r="I476" s="5">
        <v>43880</v>
      </c>
    </row>
    <row r="477" spans="1:9" x14ac:dyDescent="0.3">
      <c r="A477" t="s">
        <v>1118</v>
      </c>
      <c r="B477" t="s">
        <v>8</v>
      </c>
      <c r="C477" t="s">
        <v>1119</v>
      </c>
      <c r="D477" t="s">
        <v>63</v>
      </c>
      <c r="E477" t="s">
        <v>84</v>
      </c>
      <c r="F477">
        <v>6</v>
      </c>
      <c r="G477" t="s">
        <v>12</v>
      </c>
      <c r="H477" s="4">
        <v>0.43611111111111112</v>
      </c>
      <c r="I477" s="5">
        <v>44183</v>
      </c>
    </row>
    <row r="478" spans="1:9" x14ac:dyDescent="0.3">
      <c r="A478" t="s">
        <v>1120</v>
      </c>
      <c r="B478" t="s">
        <v>338</v>
      </c>
      <c r="C478" t="s">
        <v>1121</v>
      </c>
      <c r="D478" t="s">
        <v>79</v>
      </c>
      <c r="E478" t="s">
        <v>11</v>
      </c>
      <c r="F478">
        <v>10</v>
      </c>
      <c r="G478" t="s">
        <v>12</v>
      </c>
      <c r="H478" s="4">
        <v>0.68541666666666667</v>
      </c>
      <c r="I478" s="5">
        <v>44144</v>
      </c>
    </row>
    <row r="479" spans="1:9" x14ac:dyDescent="0.3">
      <c r="A479" t="s">
        <v>1122</v>
      </c>
      <c r="B479" t="s">
        <v>838</v>
      </c>
      <c r="C479" t="s">
        <v>870</v>
      </c>
      <c r="D479" t="s">
        <v>76</v>
      </c>
      <c r="E479" t="s">
        <v>32</v>
      </c>
      <c r="F479">
        <v>10</v>
      </c>
      <c r="G479" t="s">
        <v>47</v>
      </c>
      <c r="H479" s="4">
        <v>0.80833333333333324</v>
      </c>
      <c r="I479" s="5">
        <v>44142</v>
      </c>
    </row>
    <row r="480" spans="1:9" x14ac:dyDescent="0.3">
      <c r="A480" t="s">
        <v>1123</v>
      </c>
      <c r="B480" t="s">
        <v>716</v>
      </c>
      <c r="C480" t="s">
        <v>1124</v>
      </c>
      <c r="D480" t="s">
        <v>31</v>
      </c>
      <c r="E480" t="s">
        <v>11</v>
      </c>
      <c r="F480">
        <v>5</v>
      </c>
      <c r="G480" t="s">
        <v>47</v>
      </c>
      <c r="H480" s="4">
        <v>0.92152777777777783</v>
      </c>
      <c r="I480" s="5">
        <v>43945</v>
      </c>
    </row>
    <row r="481" spans="1:9" x14ac:dyDescent="0.3">
      <c r="A481" t="s">
        <v>1125</v>
      </c>
      <c r="B481" t="s">
        <v>626</v>
      </c>
      <c r="C481" t="s">
        <v>1126</v>
      </c>
      <c r="D481" t="s">
        <v>68</v>
      </c>
      <c r="E481" t="s">
        <v>40</v>
      </c>
      <c r="F481">
        <v>10</v>
      </c>
      <c r="G481" t="s">
        <v>12</v>
      </c>
      <c r="H481" s="4">
        <v>0.95486111111111116</v>
      </c>
      <c r="I481" s="5">
        <v>43933</v>
      </c>
    </row>
    <row r="482" spans="1:9" x14ac:dyDescent="0.3">
      <c r="A482" t="s">
        <v>1127</v>
      </c>
      <c r="B482" t="s">
        <v>1128</v>
      </c>
      <c r="C482" t="s">
        <v>355</v>
      </c>
      <c r="D482" t="s">
        <v>79</v>
      </c>
      <c r="E482" t="s">
        <v>32</v>
      </c>
      <c r="F482">
        <v>3</v>
      </c>
      <c r="G482" t="s">
        <v>12</v>
      </c>
      <c r="H482" s="4">
        <v>0.7368055555555556</v>
      </c>
      <c r="I482" s="5">
        <v>43893</v>
      </c>
    </row>
    <row r="483" spans="1:9" x14ac:dyDescent="0.3">
      <c r="A483" t="s">
        <v>1129</v>
      </c>
      <c r="B483" t="s">
        <v>153</v>
      </c>
      <c r="C483" t="s">
        <v>1130</v>
      </c>
      <c r="D483" t="s">
        <v>10</v>
      </c>
      <c r="E483" t="s">
        <v>36</v>
      </c>
      <c r="F483">
        <v>7</v>
      </c>
      <c r="G483" t="s">
        <v>47</v>
      </c>
      <c r="H483" s="4">
        <v>0.47222222222222227</v>
      </c>
      <c r="I483" s="5">
        <v>44082</v>
      </c>
    </row>
    <row r="484" spans="1:9" x14ac:dyDescent="0.3">
      <c r="A484" t="s">
        <v>1131</v>
      </c>
      <c r="B484" t="s">
        <v>282</v>
      </c>
      <c r="C484" t="s">
        <v>1132</v>
      </c>
      <c r="D484" t="s">
        <v>79</v>
      </c>
      <c r="E484" t="s">
        <v>23</v>
      </c>
      <c r="F484">
        <v>3</v>
      </c>
      <c r="G484" t="s">
        <v>18</v>
      </c>
      <c r="H484" s="4">
        <v>0.91736111111111107</v>
      </c>
      <c r="I484" s="5">
        <v>43907</v>
      </c>
    </row>
    <row r="485" spans="1:9" x14ac:dyDescent="0.3">
      <c r="A485" t="s">
        <v>1133</v>
      </c>
      <c r="B485" t="s">
        <v>1134</v>
      </c>
      <c r="C485" t="s">
        <v>1135</v>
      </c>
      <c r="D485" t="s">
        <v>76</v>
      </c>
      <c r="E485" t="s">
        <v>91</v>
      </c>
      <c r="F485">
        <v>7</v>
      </c>
      <c r="G485" t="s">
        <v>12</v>
      </c>
      <c r="H485" s="4">
        <v>0.43611111111111112</v>
      </c>
      <c r="I485" s="5">
        <v>44047</v>
      </c>
    </row>
    <row r="486" spans="1:9" x14ac:dyDescent="0.3">
      <c r="A486" t="s">
        <v>1136</v>
      </c>
      <c r="B486" t="s">
        <v>56</v>
      </c>
      <c r="C486" t="s">
        <v>247</v>
      </c>
      <c r="D486" t="s">
        <v>22</v>
      </c>
      <c r="E486" t="s">
        <v>23</v>
      </c>
      <c r="F486">
        <v>4</v>
      </c>
      <c r="G486" t="s">
        <v>47</v>
      </c>
      <c r="H486" s="4">
        <v>0.68541666666666667</v>
      </c>
      <c r="I486" s="5">
        <v>44085</v>
      </c>
    </row>
    <row r="487" spans="1:9" x14ac:dyDescent="0.3">
      <c r="A487" t="s">
        <v>1137</v>
      </c>
      <c r="B487" t="s">
        <v>159</v>
      </c>
      <c r="C487" t="s">
        <v>104</v>
      </c>
      <c r="D487" t="s">
        <v>76</v>
      </c>
      <c r="E487" t="s">
        <v>64</v>
      </c>
      <c r="F487">
        <v>10</v>
      </c>
      <c r="G487" t="s">
        <v>12</v>
      </c>
      <c r="H487" s="4">
        <v>0.80833333333333324</v>
      </c>
      <c r="I487" s="5">
        <v>44051</v>
      </c>
    </row>
    <row r="488" spans="1:9" x14ac:dyDescent="0.3">
      <c r="A488" t="s">
        <v>1138</v>
      </c>
      <c r="B488" t="s">
        <v>1139</v>
      </c>
      <c r="C488" t="s">
        <v>1140</v>
      </c>
      <c r="D488" t="s">
        <v>76</v>
      </c>
      <c r="E488" t="s">
        <v>32</v>
      </c>
      <c r="F488">
        <v>4</v>
      </c>
      <c r="G488" t="s">
        <v>47</v>
      </c>
      <c r="H488" s="4">
        <v>0.92152777777777783</v>
      </c>
      <c r="I488" s="5">
        <v>43854</v>
      </c>
    </row>
    <row r="489" spans="1:9" x14ac:dyDescent="0.3">
      <c r="A489" t="s">
        <v>1141</v>
      </c>
      <c r="B489" t="s">
        <v>478</v>
      </c>
      <c r="C489" t="s">
        <v>592</v>
      </c>
      <c r="D489" t="s">
        <v>16</v>
      </c>
      <c r="E489" t="s">
        <v>17</v>
      </c>
      <c r="F489">
        <v>10</v>
      </c>
      <c r="G489" t="s">
        <v>18</v>
      </c>
      <c r="H489" s="4">
        <v>0.95486111111111116</v>
      </c>
      <c r="I489" s="5">
        <v>43895</v>
      </c>
    </row>
    <row r="490" spans="1:9" x14ac:dyDescent="0.3">
      <c r="A490" t="s">
        <v>1142</v>
      </c>
      <c r="B490" t="s">
        <v>858</v>
      </c>
      <c r="C490" t="s">
        <v>83</v>
      </c>
      <c r="D490" t="s">
        <v>22</v>
      </c>
      <c r="E490" t="s">
        <v>69</v>
      </c>
      <c r="F490">
        <v>10</v>
      </c>
      <c r="G490" t="s">
        <v>47</v>
      </c>
      <c r="H490" s="4">
        <v>0.7368055555555556</v>
      </c>
      <c r="I490" s="5">
        <v>44155</v>
      </c>
    </row>
    <row r="491" spans="1:9" x14ac:dyDescent="0.3">
      <c r="A491" t="s">
        <v>1143</v>
      </c>
      <c r="B491" t="s">
        <v>1144</v>
      </c>
      <c r="C491" t="s">
        <v>1145</v>
      </c>
      <c r="D491" t="s">
        <v>63</v>
      </c>
      <c r="E491" t="s">
        <v>84</v>
      </c>
      <c r="F491">
        <v>3</v>
      </c>
      <c r="G491" t="s">
        <v>47</v>
      </c>
      <c r="H491" s="4">
        <v>0.47222222222222227</v>
      </c>
      <c r="I491" s="5">
        <v>44189</v>
      </c>
    </row>
    <row r="492" spans="1:9" x14ac:dyDescent="0.3">
      <c r="A492" t="s">
        <v>1146</v>
      </c>
      <c r="B492" t="s">
        <v>199</v>
      </c>
      <c r="C492" t="s">
        <v>1147</v>
      </c>
      <c r="D492" t="s">
        <v>51</v>
      </c>
      <c r="E492" t="s">
        <v>40</v>
      </c>
      <c r="F492">
        <v>9</v>
      </c>
      <c r="G492" t="s">
        <v>12</v>
      </c>
      <c r="H492" s="4">
        <v>0.91736111111111107</v>
      </c>
      <c r="I492" s="5">
        <v>43949</v>
      </c>
    </row>
    <row r="493" spans="1:9" x14ac:dyDescent="0.3">
      <c r="A493" t="s">
        <v>1148</v>
      </c>
      <c r="B493" t="s">
        <v>1149</v>
      </c>
      <c r="C493" t="s">
        <v>375</v>
      </c>
      <c r="D493" t="s">
        <v>76</v>
      </c>
      <c r="E493" t="s">
        <v>17</v>
      </c>
      <c r="F493">
        <v>9</v>
      </c>
      <c r="G493" t="s">
        <v>189</v>
      </c>
      <c r="H493" s="4">
        <v>0.43611111111111112</v>
      </c>
      <c r="I493" s="5">
        <v>43935</v>
      </c>
    </row>
    <row r="494" spans="1:9" x14ac:dyDescent="0.3">
      <c r="A494" t="s">
        <v>1150</v>
      </c>
      <c r="B494" t="s">
        <v>71</v>
      </c>
      <c r="C494" t="s">
        <v>720</v>
      </c>
      <c r="D494" t="s">
        <v>22</v>
      </c>
      <c r="E494" t="s">
        <v>17</v>
      </c>
      <c r="F494">
        <v>9</v>
      </c>
      <c r="G494" t="s">
        <v>47</v>
      </c>
      <c r="H494" s="4">
        <v>0.68541666666666667</v>
      </c>
      <c r="I494" s="5">
        <v>44010</v>
      </c>
    </row>
    <row r="495" spans="1:9" x14ac:dyDescent="0.3">
      <c r="A495" t="s">
        <v>1151</v>
      </c>
      <c r="B495" t="s">
        <v>1152</v>
      </c>
      <c r="C495" t="s">
        <v>1153</v>
      </c>
      <c r="D495" t="s">
        <v>31</v>
      </c>
      <c r="E495" t="s">
        <v>84</v>
      </c>
      <c r="F495">
        <v>10</v>
      </c>
      <c r="G495" t="s">
        <v>47</v>
      </c>
      <c r="H495" s="4">
        <v>0.80833333333333324</v>
      </c>
      <c r="I495" s="5">
        <v>43891</v>
      </c>
    </row>
    <row r="496" spans="1:9" x14ac:dyDescent="0.3">
      <c r="A496" t="s">
        <v>1154</v>
      </c>
      <c r="B496" t="s">
        <v>1155</v>
      </c>
      <c r="C496" t="s">
        <v>289</v>
      </c>
      <c r="D496" t="s">
        <v>31</v>
      </c>
      <c r="E496" t="s">
        <v>69</v>
      </c>
      <c r="F496">
        <v>9</v>
      </c>
      <c r="G496" t="s">
        <v>47</v>
      </c>
      <c r="H496" s="4">
        <v>0.92152777777777783</v>
      </c>
      <c r="I496" s="5">
        <v>43945</v>
      </c>
    </row>
    <row r="497" spans="1:9" x14ac:dyDescent="0.3">
      <c r="A497" t="s">
        <v>1156</v>
      </c>
      <c r="B497" t="s">
        <v>496</v>
      </c>
      <c r="C497" t="s">
        <v>210</v>
      </c>
      <c r="D497" t="s">
        <v>68</v>
      </c>
      <c r="E497" t="s">
        <v>27</v>
      </c>
      <c r="F497">
        <v>5</v>
      </c>
      <c r="G497" t="s">
        <v>47</v>
      </c>
      <c r="H497" s="4">
        <v>0.95486111111111116</v>
      </c>
      <c r="I497" s="5">
        <v>44161</v>
      </c>
    </row>
    <row r="498" spans="1:9" x14ac:dyDescent="0.3">
      <c r="A498" t="s">
        <v>1157</v>
      </c>
      <c r="B498" t="s">
        <v>395</v>
      </c>
      <c r="C498" t="s">
        <v>752</v>
      </c>
      <c r="D498" t="s">
        <v>10</v>
      </c>
      <c r="E498" t="s">
        <v>64</v>
      </c>
      <c r="F498">
        <v>9</v>
      </c>
      <c r="G498" t="s">
        <v>18</v>
      </c>
      <c r="H498" s="4">
        <v>0.7368055555555556</v>
      </c>
      <c r="I498" s="5">
        <v>44105</v>
      </c>
    </row>
    <row r="499" spans="1:9" x14ac:dyDescent="0.3">
      <c r="A499" t="s">
        <v>1158</v>
      </c>
      <c r="B499" t="s">
        <v>1159</v>
      </c>
      <c r="C499" t="s">
        <v>749</v>
      </c>
      <c r="D499" t="s">
        <v>79</v>
      </c>
      <c r="E499" t="s">
        <v>40</v>
      </c>
      <c r="F499">
        <v>10</v>
      </c>
      <c r="G499" t="s">
        <v>47</v>
      </c>
      <c r="H499" s="4">
        <v>0.47222222222222227</v>
      </c>
      <c r="I499" s="5">
        <v>44018</v>
      </c>
    </row>
    <row r="500" spans="1:9" x14ac:dyDescent="0.3">
      <c r="A500" t="s">
        <v>1160</v>
      </c>
      <c r="B500" t="s">
        <v>1161</v>
      </c>
      <c r="C500" t="s">
        <v>126</v>
      </c>
      <c r="D500" t="s">
        <v>51</v>
      </c>
      <c r="E500" t="s">
        <v>69</v>
      </c>
      <c r="F500">
        <v>7</v>
      </c>
      <c r="G500" t="s">
        <v>47</v>
      </c>
      <c r="H500" s="4">
        <v>0.91736111111111107</v>
      </c>
      <c r="I500" s="5">
        <v>44030</v>
      </c>
    </row>
    <row r="501" spans="1:9" x14ac:dyDescent="0.3">
      <c r="A501" t="s">
        <v>1162</v>
      </c>
      <c r="B501" t="s">
        <v>349</v>
      </c>
      <c r="C501" t="s">
        <v>1163</v>
      </c>
      <c r="D501" t="s">
        <v>10</v>
      </c>
      <c r="E501" t="s">
        <v>84</v>
      </c>
      <c r="F501">
        <v>10</v>
      </c>
      <c r="G501" t="s">
        <v>47</v>
      </c>
      <c r="H501" s="4">
        <v>0.43611111111111112</v>
      </c>
      <c r="I501" s="5">
        <v>44025</v>
      </c>
    </row>
    <row r="502" spans="1:9" x14ac:dyDescent="0.3">
      <c r="A502" t="s">
        <v>1164</v>
      </c>
      <c r="B502" t="s">
        <v>98</v>
      </c>
      <c r="C502" t="s">
        <v>1165</v>
      </c>
      <c r="D502" t="s">
        <v>10</v>
      </c>
      <c r="E502" t="s">
        <v>84</v>
      </c>
      <c r="F502">
        <v>9</v>
      </c>
      <c r="G502" t="s">
        <v>18</v>
      </c>
      <c r="H502" s="4">
        <v>0.68541666666666667</v>
      </c>
      <c r="I502" s="5">
        <v>43972</v>
      </c>
    </row>
    <row r="503" spans="1:9" x14ac:dyDescent="0.3">
      <c r="A503" t="s">
        <v>1166</v>
      </c>
      <c r="B503" t="s">
        <v>616</v>
      </c>
      <c r="C503" t="s">
        <v>1167</v>
      </c>
      <c r="D503" t="s">
        <v>68</v>
      </c>
      <c r="E503" t="s">
        <v>84</v>
      </c>
      <c r="F503">
        <v>8</v>
      </c>
      <c r="G503" t="s">
        <v>18</v>
      </c>
      <c r="H503" s="4">
        <v>0.80833333333333324</v>
      </c>
      <c r="I503" s="5">
        <v>43955</v>
      </c>
    </row>
    <row r="504" spans="1:9" x14ac:dyDescent="0.3">
      <c r="A504" t="s">
        <v>1168</v>
      </c>
      <c r="B504" t="s">
        <v>1012</v>
      </c>
      <c r="C504" t="s">
        <v>1169</v>
      </c>
      <c r="D504" t="s">
        <v>51</v>
      </c>
      <c r="E504" t="s">
        <v>69</v>
      </c>
      <c r="F504">
        <v>10</v>
      </c>
      <c r="G504" t="s">
        <v>18</v>
      </c>
      <c r="H504" s="4">
        <v>0.92152777777777783</v>
      </c>
      <c r="I504" s="5">
        <v>44036</v>
      </c>
    </row>
    <row r="505" spans="1:9" x14ac:dyDescent="0.3">
      <c r="A505" t="s">
        <v>1170</v>
      </c>
      <c r="B505" t="s">
        <v>385</v>
      </c>
      <c r="C505" t="s">
        <v>1171</v>
      </c>
      <c r="D505" t="s">
        <v>10</v>
      </c>
      <c r="E505" t="s">
        <v>80</v>
      </c>
      <c r="F505">
        <v>7</v>
      </c>
      <c r="G505" t="s">
        <v>47</v>
      </c>
      <c r="H505" s="4">
        <v>0.95486111111111116</v>
      </c>
      <c r="I505" s="5">
        <v>43975</v>
      </c>
    </row>
    <row r="506" spans="1:9" x14ac:dyDescent="0.3">
      <c r="A506" t="s">
        <v>1172</v>
      </c>
      <c r="B506" t="s">
        <v>676</v>
      </c>
      <c r="C506" t="s">
        <v>1173</v>
      </c>
      <c r="D506" t="s">
        <v>31</v>
      </c>
      <c r="E506" t="s">
        <v>80</v>
      </c>
      <c r="F506">
        <v>7</v>
      </c>
      <c r="G506" t="s">
        <v>12</v>
      </c>
      <c r="H506" s="4">
        <v>0.7368055555555556</v>
      </c>
      <c r="I506" s="5">
        <v>43947</v>
      </c>
    </row>
    <row r="507" spans="1:9" x14ac:dyDescent="0.3">
      <c r="A507" t="s">
        <v>1174</v>
      </c>
      <c r="B507" t="s">
        <v>110</v>
      </c>
      <c r="C507" t="s">
        <v>316</v>
      </c>
      <c r="D507" t="s">
        <v>76</v>
      </c>
      <c r="E507" t="s">
        <v>69</v>
      </c>
      <c r="F507">
        <v>6</v>
      </c>
      <c r="G507" t="s">
        <v>47</v>
      </c>
      <c r="H507" s="4">
        <v>0.47222222222222227</v>
      </c>
      <c r="I507" s="5">
        <v>43997</v>
      </c>
    </row>
    <row r="508" spans="1:9" x14ac:dyDescent="0.3">
      <c r="A508" t="s">
        <v>1175</v>
      </c>
      <c r="B508" t="s">
        <v>110</v>
      </c>
      <c r="C508" t="s">
        <v>1176</v>
      </c>
      <c r="D508" t="s">
        <v>68</v>
      </c>
      <c r="E508" t="s">
        <v>91</v>
      </c>
      <c r="F508">
        <v>3</v>
      </c>
      <c r="G508" t="s">
        <v>47</v>
      </c>
      <c r="H508" s="4">
        <v>0.91736111111111107</v>
      </c>
      <c r="I508" s="5">
        <v>44190</v>
      </c>
    </row>
    <row r="509" spans="1:9" x14ac:dyDescent="0.3">
      <c r="A509" t="s">
        <v>1177</v>
      </c>
      <c r="B509" t="s">
        <v>153</v>
      </c>
      <c r="C509" t="s">
        <v>1178</v>
      </c>
      <c r="D509" t="s">
        <v>10</v>
      </c>
      <c r="E509" t="s">
        <v>40</v>
      </c>
      <c r="F509">
        <v>8</v>
      </c>
      <c r="G509" t="s">
        <v>47</v>
      </c>
      <c r="H509" s="4">
        <v>0.43611111111111112</v>
      </c>
      <c r="I509" s="5">
        <v>44124</v>
      </c>
    </row>
    <row r="510" spans="1:9" x14ac:dyDescent="0.3">
      <c r="A510" t="s">
        <v>1179</v>
      </c>
      <c r="B510" t="s">
        <v>110</v>
      </c>
      <c r="C510" t="s">
        <v>1180</v>
      </c>
      <c r="D510" t="s">
        <v>76</v>
      </c>
      <c r="E510" t="s">
        <v>105</v>
      </c>
      <c r="F510">
        <v>6</v>
      </c>
      <c r="G510" t="s">
        <v>12</v>
      </c>
      <c r="H510" s="4">
        <v>0.68541666666666667</v>
      </c>
      <c r="I510" s="5">
        <v>44045</v>
      </c>
    </row>
    <row r="511" spans="1:9" x14ac:dyDescent="0.3">
      <c r="A511" t="s">
        <v>1181</v>
      </c>
      <c r="B511" t="s">
        <v>579</v>
      </c>
      <c r="C511" t="s">
        <v>1182</v>
      </c>
      <c r="D511" t="s">
        <v>79</v>
      </c>
      <c r="E511" t="s">
        <v>27</v>
      </c>
      <c r="F511">
        <v>4</v>
      </c>
      <c r="G511" t="s">
        <v>47</v>
      </c>
      <c r="H511" s="4">
        <v>0.80833333333333324</v>
      </c>
      <c r="I511" s="5">
        <v>44182</v>
      </c>
    </row>
    <row r="512" spans="1:9" x14ac:dyDescent="0.3">
      <c r="A512" t="s">
        <v>1183</v>
      </c>
      <c r="B512" t="s">
        <v>1184</v>
      </c>
      <c r="C512" t="s">
        <v>188</v>
      </c>
      <c r="D512" t="s">
        <v>68</v>
      </c>
      <c r="E512" t="s">
        <v>23</v>
      </c>
      <c r="F512">
        <v>7</v>
      </c>
      <c r="G512" t="s">
        <v>47</v>
      </c>
      <c r="H512" s="4">
        <v>0.92152777777777783</v>
      </c>
      <c r="I512" s="5">
        <v>44129</v>
      </c>
    </row>
    <row r="513" spans="1:9" x14ac:dyDescent="0.3">
      <c r="A513" t="s">
        <v>1185</v>
      </c>
      <c r="B513" t="s">
        <v>1064</v>
      </c>
      <c r="C513" t="s">
        <v>907</v>
      </c>
      <c r="D513" t="s">
        <v>16</v>
      </c>
      <c r="E513" t="s">
        <v>17</v>
      </c>
      <c r="F513">
        <v>4</v>
      </c>
      <c r="G513" t="s">
        <v>18</v>
      </c>
      <c r="H513" s="4">
        <v>0.95486111111111116</v>
      </c>
      <c r="I513" s="5">
        <v>44038</v>
      </c>
    </row>
    <row r="514" spans="1:9" x14ac:dyDescent="0.3">
      <c r="A514" t="s">
        <v>1186</v>
      </c>
      <c r="B514" t="s">
        <v>103</v>
      </c>
      <c r="C514" t="s">
        <v>1187</v>
      </c>
      <c r="D514" t="s">
        <v>16</v>
      </c>
      <c r="E514" t="s">
        <v>36</v>
      </c>
      <c r="F514">
        <v>3</v>
      </c>
      <c r="G514" t="s">
        <v>47</v>
      </c>
      <c r="H514" s="4">
        <v>0.7368055555555556</v>
      </c>
      <c r="I514" s="5">
        <v>44088</v>
      </c>
    </row>
    <row r="515" spans="1:9" x14ac:dyDescent="0.3">
      <c r="A515" t="s">
        <v>1188</v>
      </c>
      <c r="B515" t="s">
        <v>820</v>
      </c>
      <c r="C515" t="s">
        <v>1189</v>
      </c>
      <c r="D515" t="s">
        <v>79</v>
      </c>
      <c r="E515" t="s">
        <v>40</v>
      </c>
      <c r="F515">
        <v>10</v>
      </c>
      <c r="G515" t="s">
        <v>47</v>
      </c>
      <c r="H515" s="4">
        <v>0.47222222222222227</v>
      </c>
      <c r="I515" s="5">
        <v>44163</v>
      </c>
    </row>
    <row r="516" spans="1:9" x14ac:dyDescent="0.3">
      <c r="A516" t="s">
        <v>1190</v>
      </c>
      <c r="B516" t="s">
        <v>8</v>
      </c>
      <c r="C516" t="s">
        <v>136</v>
      </c>
      <c r="D516" t="s">
        <v>68</v>
      </c>
      <c r="E516" t="s">
        <v>40</v>
      </c>
      <c r="F516">
        <v>7</v>
      </c>
      <c r="G516" t="s">
        <v>12</v>
      </c>
      <c r="H516" s="4">
        <v>0.91736111111111107</v>
      </c>
      <c r="I516" s="5">
        <v>43952</v>
      </c>
    </row>
    <row r="517" spans="1:9" x14ac:dyDescent="0.3">
      <c r="A517" t="s">
        <v>1191</v>
      </c>
      <c r="B517" t="s">
        <v>252</v>
      </c>
      <c r="C517" t="s">
        <v>757</v>
      </c>
      <c r="D517" t="s">
        <v>68</v>
      </c>
      <c r="E517" t="s">
        <v>27</v>
      </c>
      <c r="F517">
        <v>7</v>
      </c>
      <c r="G517" t="s">
        <v>18</v>
      </c>
      <c r="H517" s="4">
        <v>0.43611111111111112</v>
      </c>
      <c r="I517" s="5">
        <v>44052</v>
      </c>
    </row>
    <row r="518" spans="1:9" x14ac:dyDescent="0.3">
      <c r="A518" t="s">
        <v>1192</v>
      </c>
      <c r="B518" t="s">
        <v>218</v>
      </c>
      <c r="C518" t="s">
        <v>229</v>
      </c>
      <c r="D518" t="s">
        <v>31</v>
      </c>
      <c r="E518" t="s">
        <v>130</v>
      </c>
      <c r="F518">
        <v>8</v>
      </c>
      <c r="G518" t="s">
        <v>47</v>
      </c>
      <c r="H518" s="4">
        <v>0.68541666666666667</v>
      </c>
      <c r="I518" s="5">
        <v>44114</v>
      </c>
    </row>
    <row r="519" spans="1:9" x14ac:dyDescent="0.3">
      <c r="A519" t="s">
        <v>1193</v>
      </c>
      <c r="B519" t="s">
        <v>643</v>
      </c>
      <c r="C519" t="s">
        <v>199</v>
      </c>
      <c r="D519" t="s">
        <v>22</v>
      </c>
      <c r="E519" t="s">
        <v>64</v>
      </c>
      <c r="F519">
        <v>8</v>
      </c>
      <c r="G519" t="s">
        <v>18</v>
      </c>
      <c r="H519" s="4">
        <v>0.80833333333333324</v>
      </c>
      <c r="I519" s="5">
        <v>43939</v>
      </c>
    </row>
    <row r="520" spans="1:9" x14ac:dyDescent="0.3">
      <c r="A520" t="s">
        <v>1194</v>
      </c>
      <c r="B520" t="s">
        <v>1195</v>
      </c>
      <c r="C520" t="s">
        <v>336</v>
      </c>
      <c r="D520" t="s">
        <v>10</v>
      </c>
      <c r="E520" t="s">
        <v>84</v>
      </c>
      <c r="F520">
        <v>8</v>
      </c>
      <c r="G520" t="s">
        <v>47</v>
      </c>
      <c r="H520" s="4">
        <v>0.92152777777777783</v>
      </c>
      <c r="I520" s="5">
        <v>44029</v>
      </c>
    </row>
    <row r="521" spans="1:9" x14ac:dyDescent="0.3">
      <c r="A521" t="s">
        <v>1196</v>
      </c>
      <c r="B521" t="s">
        <v>1197</v>
      </c>
      <c r="C521" t="s">
        <v>1198</v>
      </c>
      <c r="D521" t="s">
        <v>10</v>
      </c>
      <c r="E521" t="s">
        <v>40</v>
      </c>
      <c r="F521">
        <v>6</v>
      </c>
      <c r="G521" t="s">
        <v>47</v>
      </c>
      <c r="H521" s="4">
        <v>0.95486111111111116</v>
      </c>
      <c r="I521" s="5">
        <v>44023</v>
      </c>
    </row>
    <row r="522" spans="1:9" x14ac:dyDescent="0.3">
      <c r="A522" t="s">
        <v>1199</v>
      </c>
      <c r="B522" t="s">
        <v>385</v>
      </c>
      <c r="C522" t="s">
        <v>1200</v>
      </c>
      <c r="D522" t="s">
        <v>76</v>
      </c>
      <c r="E522" t="s">
        <v>64</v>
      </c>
      <c r="F522">
        <v>3</v>
      </c>
      <c r="G522" t="s">
        <v>47</v>
      </c>
      <c r="H522" s="4">
        <v>0.7368055555555556</v>
      </c>
      <c r="I522" s="5">
        <v>43992</v>
      </c>
    </row>
    <row r="523" spans="1:9" x14ac:dyDescent="0.3">
      <c r="A523" t="s">
        <v>1201</v>
      </c>
      <c r="B523" t="s">
        <v>385</v>
      </c>
      <c r="C523" t="s">
        <v>1202</v>
      </c>
      <c r="D523" t="s">
        <v>22</v>
      </c>
      <c r="E523" t="s">
        <v>17</v>
      </c>
      <c r="F523">
        <v>5</v>
      </c>
      <c r="G523" t="s">
        <v>12</v>
      </c>
      <c r="H523" s="4">
        <v>0.47222222222222227</v>
      </c>
      <c r="I523" s="5">
        <v>44050</v>
      </c>
    </row>
    <row r="524" spans="1:9" x14ac:dyDescent="0.3">
      <c r="A524" t="s">
        <v>1203</v>
      </c>
      <c r="B524" t="s">
        <v>8</v>
      </c>
      <c r="C524" t="s">
        <v>236</v>
      </c>
      <c r="D524" t="s">
        <v>63</v>
      </c>
      <c r="E524" t="s">
        <v>91</v>
      </c>
      <c r="F524">
        <v>5</v>
      </c>
      <c r="G524" t="s">
        <v>47</v>
      </c>
      <c r="H524" s="4">
        <v>0.91736111111111107</v>
      </c>
      <c r="I524" s="5">
        <v>43936</v>
      </c>
    </row>
    <row r="525" spans="1:9" x14ac:dyDescent="0.3">
      <c r="A525" t="s">
        <v>1204</v>
      </c>
      <c r="B525" t="s">
        <v>1205</v>
      </c>
      <c r="C525" t="s">
        <v>922</v>
      </c>
      <c r="D525" t="s">
        <v>22</v>
      </c>
      <c r="E525" t="s">
        <v>36</v>
      </c>
      <c r="F525">
        <v>9</v>
      </c>
      <c r="G525" t="s">
        <v>47</v>
      </c>
      <c r="H525" s="4">
        <v>0.43611111111111112</v>
      </c>
      <c r="I525" s="5">
        <v>43913</v>
      </c>
    </row>
    <row r="526" spans="1:9" x14ac:dyDescent="0.3">
      <c r="A526" t="s">
        <v>1206</v>
      </c>
      <c r="B526" t="s">
        <v>528</v>
      </c>
      <c r="C526" t="s">
        <v>1207</v>
      </c>
      <c r="D526" t="s">
        <v>16</v>
      </c>
      <c r="E526" t="s">
        <v>32</v>
      </c>
      <c r="F526">
        <v>6</v>
      </c>
      <c r="G526" t="s">
        <v>47</v>
      </c>
      <c r="H526" s="4">
        <v>0.68541666666666667</v>
      </c>
      <c r="I526" s="5">
        <v>43894</v>
      </c>
    </row>
    <row r="527" spans="1:9" x14ac:dyDescent="0.3">
      <c r="A527" t="s">
        <v>1208</v>
      </c>
      <c r="B527" t="s">
        <v>212</v>
      </c>
      <c r="C527" t="s">
        <v>1209</v>
      </c>
      <c r="D527" t="s">
        <v>10</v>
      </c>
      <c r="E527" t="s">
        <v>36</v>
      </c>
      <c r="F527">
        <v>8</v>
      </c>
      <c r="G527" t="s">
        <v>47</v>
      </c>
      <c r="H527" s="4">
        <v>0.80833333333333324</v>
      </c>
      <c r="I527" s="5">
        <v>44053</v>
      </c>
    </row>
    <row r="528" spans="1:9" x14ac:dyDescent="0.3">
      <c r="A528" t="s">
        <v>1210</v>
      </c>
      <c r="B528" t="s">
        <v>421</v>
      </c>
      <c r="C528" t="s">
        <v>1211</v>
      </c>
      <c r="D528" t="s">
        <v>16</v>
      </c>
      <c r="E528" t="s">
        <v>36</v>
      </c>
      <c r="F528">
        <v>7</v>
      </c>
      <c r="G528" t="s">
        <v>47</v>
      </c>
      <c r="H528" s="4">
        <v>0.92152777777777783</v>
      </c>
      <c r="I528" s="5">
        <v>43967</v>
      </c>
    </row>
    <row r="529" spans="1:9" x14ac:dyDescent="0.3">
      <c r="A529" t="s">
        <v>1212</v>
      </c>
      <c r="B529" t="s">
        <v>802</v>
      </c>
      <c r="C529" t="s">
        <v>1213</v>
      </c>
      <c r="D529" t="s">
        <v>51</v>
      </c>
      <c r="E529" t="s">
        <v>23</v>
      </c>
      <c r="F529">
        <v>10</v>
      </c>
      <c r="G529" t="s">
        <v>18</v>
      </c>
      <c r="H529" s="4">
        <v>0.95486111111111116</v>
      </c>
      <c r="I529" s="5">
        <v>43897</v>
      </c>
    </row>
    <row r="530" spans="1:9" x14ac:dyDescent="0.3">
      <c r="A530" t="s">
        <v>1214</v>
      </c>
      <c r="B530" t="s">
        <v>977</v>
      </c>
      <c r="C530" t="s">
        <v>1215</v>
      </c>
      <c r="D530" t="s">
        <v>63</v>
      </c>
      <c r="E530" t="s">
        <v>84</v>
      </c>
      <c r="F530">
        <v>8</v>
      </c>
      <c r="G530" t="s">
        <v>12</v>
      </c>
      <c r="H530" s="4">
        <v>0.7368055555555556</v>
      </c>
      <c r="I530" s="5">
        <v>43901</v>
      </c>
    </row>
    <row r="531" spans="1:9" x14ac:dyDescent="0.3">
      <c r="A531" t="s">
        <v>1216</v>
      </c>
      <c r="B531" t="s">
        <v>712</v>
      </c>
      <c r="C531" t="s">
        <v>878</v>
      </c>
      <c r="D531" t="s">
        <v>68</v>
      </c>
      <c r="E531" t="s">
        <v>84</v>
      </c>
      <c r="F531">
        <v>9</v>
      </c>
      <c r="G531" t="s">
        <v>18</v>
      </c>
      <c r="H531" s="4">
        <v>0.47222222222222227</v>
      </c>
      <c r="I531" s="5">
        <v>44090</v>
      </c>
    </row>
    <row r="532" spans="1:9" x14ac:dyDescent="0.3">
      <c r="A532" t="s">
        <v>1217</v>
      </c>
      <c r="B532" t="s">
        <v>321</v>
      </c>
      <c r="C532" t="s">
        <v>1218</v>
      </c>
      <c r="D532" t="s">
        <v>16</v>
      </c>
      <c r="E532" t="s">
        <v>36</v>
      </c>
      <c r="F532">
        <v>7</v>
      </c>
      <c r="G532" t="s">
        <v>47</v>
      </c>
      <c r="H532" s="4">
        <v>0.91736111111111107</v>
      </c>
      <c r="I532" s="5">
        <v>44143</v>
      </c>
    </row>
    <row r="533" spans="1:9" x14ac:dyDescent="0.3">
      <c r="A533" t="s">
        <v>1219</v>
      </c>
      <c r="B533" t="s">
        <v>544</v>
      </c>
      <c r="C533" t="s">
        <v>54</v>
      </c>
      <c r="D533" t="s">
        <v>79</v>
      </c>
      <c r="E533" t="s">
        <v>64</v>
      </c>
      <c r="F533">
        <v>5</v>
      </c>
      <c r="G533" t="s">
        <v>47</v>
      </c>
      <c r="H533" s="4">
        <v>0.43611111111111112</v>
      </c>
      <c r="I533" s="5">
        <v>43943</v>
      </c>
    </row>
    <row r="534" spans="1:9" x14ac:dyDescent="0.3">
      <c r="A534" t="s">
        <v>1220</v>
      </c>
      <c r="B534" t="s">
        <v>176</v>
      </c>
      <c r="C534" t="s">
        <v>1221</v>
      </c>
      <c r="D534" t="s">
        <v>22</v>
      </c>
      <c r="E534" t="s">
        <v>130</v>
      </c>
      <c r="F534">
        <v>8</v>
      </c>
      <c r="G534" t="s">
        <v>47</v>
      </c>
      <c r="H534" s="4">
        <v>0.68541666666666667</v>
      </c>
      <c r="I534" s="5">
        <v>43987</v>
      </c>
    </row>
    <row r="535" spans="1:9" x14ac:dyDescent="0.3">
      <c r="A535" t="s">
        <v>1222</v>
      </c>
      <c r="B535" t="s">
        <v>212</v>
      </c>
      <c r="C535" t="s">
        <v>1223</v>
      </c>
      <c r="D535" t="s">
        <v>63</v>
      </c>
      <c r="E535" t="s">
        <v>40</v>
      </c>
      <c r="F535">
        <v>9</v>
      </c>
      <c r="G535" t="s">
        <v>12</v>
      </c>
      <c r="H535" s="4">
        <v>0.80833333333333324</v>
      </c>
      <c r="I535" s="5">
        <v>43866</v>
      </c>
    </row>
    <row r="536" spans="1:9" x14ac:dyDescent="0.3">
      <c r="A536" t="s">
        <v>1224</v>
      </c>
      <c r="B536" t="s">
        <v>86</v>
      </c>
      <c r="C536" t="s">
        <v>767</v>
      </c>
      <c r="D536" t="s">
        <v>76</v>
      </c>
      <c r="E536" t="s">
        <v>40</v>
      </c>
      <c r="F536">
        <v>5</v>
      </c>
      <c r="G536" t="s">
        <v>18</v>
      </c>
      <c r="H536" s="4">
        <v>0.92152777777777783</v>
      </c>
      <c r="I536" s="5">
        <v>44054</v>
      </c>
    </row>
    <row r="537" spans="1:9" x14ac:dyDescent="0.3">
      <c r="A537" t="s">
        <v>1225</v>
      </c>
      <c r="B537" t="s">
        <v>1226</v>
      </c>
      <c r="C537" t="s">
        <v>1227</v>
      </c>
      <c r="D537" t="s">
        <v>16</v>
      </c>
      <c r="E537" t="s">
        <v>80</v>
      </c>
      <c r="F537">
        <v>5</v>
      </c>
      <c r="G537" t="s">
        <v>47</v>
      </c>
      <c r="H537" s="4">
        <v>0.95486111111111116</v>
      </c>
      <c r="I537" s="5">
        <v>44109</v>
      </c>
    </row>
    <row r="538" spans="1:9" x14ac:dyDescent="0.3">
      <c r="A538" t="s">
        <v>1228</v>
      </c>
      <c r="B538" t="s">
        <v>1229</v>
      </c>
      <c r="C538" t="s">
        <v>50</v>
      </c>
      <c r="D538" t="s">
        <v>68</v>
      </c>
      <c r="E538" t="s">
        <v>105</v>
      </c>
      <c r="F538">
        <v>6</v>
      </c>
      <c r="G538" t="s">
        <v>47</v>
      </c>
      <c r="H538" s="4">
        <v>0.7368055555555556</v>
      </c>
      <c r="I538" s="5">
        <v>43895</v>
      </c>
    </row>
    <row r="539" spans="1:9" x14ac:dyDescent="0.3">
      <c r="A539" t="s">
        <v>1230</v>
      </c>
      <c r="B539" t="s">
        <v>499</v>
      </c>
      <c r="C539" t="s">
        <v>946</v>
      </c>
      <c r="D539" t="s">
        <v>63</v>
      </c>
      <c r="E539" t="s">
        <v>84</v>
      </c>
      <c r="F539">
        <v>6</v>
      </c>
      <c r="G539" t="s">
        <v>47</v>
      </c>
      <c r="H539" s="4">
        <v>0.47222222222222227</v>
      </c>
      <c r="I539" s="5">
        <v>44064</v>
      </c>
    </row>
    <row r="540" spans="1:9" x14ac:dyDescent="0.3">
      <c r="A540" t="s">
        <v>1231</v>
      </c>
      <c r="B540" t="s">
        <v>268</v>
      </c>
      <c r="C540" t="s">
        <v>1232</v>
      </c>
      <c r="D540" t="s">
        <v>22</v>
      </c>
      <c r="E540" t="s">
        <v>84</v>
      </c>
      <c r="F540">
        <v>9</v>
      </c>
      <c r="G540" t="s">
        <v>47</v>
      </c>
      <c r="H540" s="4">
        <v>0.91736111111111107</v>
      </c>
      <c r="I540" s="5">
        <v>44026</v>
      </c>
    </row>
    <row r="541" spans="1:9" x14ac:dyDescent="0.3">
      <c r="A541" t="s">
        <v>1233</v>
      </c>
      <c r="B541" t="s">
        <v>135</v>
      </c>
      <c r="C541" t="s">
        <v>1113</v>
      </c>
      <c r="D541" t="s">
        <v>79</v>
      </c>
      <c r="E541" t="s">
        <v>23</v>
      </c>
      <c r="F541">
        <v>7</v>
      </c>
      <c r="G541" t="s">
        <v>47</v>
      </c>
      <c r="H541" s="4">
        <v>0.43611111111111112</v>
      </c>
      <c r="I541" s="5">
        <v>44191</v>
      </c>
    </row>
    <row r="542" spans="1:9" x14ac:dyDescent="0.3">
      <c r="A542" t="s">
        <v>1234</v>
      </c>
      <c r="B542" t="s">
        <v>349</v>
      </c>
      <c r="C542" t="s">
        <v>851</v>
      </c>
      <c r="D542" t="s">
        <v>10</v>
      </c>
      <c r="E542" t="s">
        <v>32</v>
      </c>
      <c r="F542">
        <v>7</v>
      </c>
      <c r="G542" t="s">
        <v>18</v>
      </c>
      <c r="H542" s="4">
        <v>0.68541666666666667</v>
      </c>
      <c r="I542" s="5">
        <v>43945</v>
      </c>
    </row>
    <row r="543" spans="1:9" x14ac:dyDescent="0.3">
      <c r="A543" t="s">
        <v>1235</v>
      </c>
      <c r="B543" t="s">
        <v>1236</v>
      </c>
      <c r="C543" t="s">
        <v>580</v>
      </c>
      <c r="D543" t="s">
        <v>79</v>
      </c>
      <c r="E543" t="s">
        <v>36</v>
      </c>
      <c r="F543">
        <v>7</v>
      </c>
      <c r="G543" t="s">
        <v>47</v>
      </c>
      <c r="H543" s="4">
        <v>0.80833333333333324</v>
      </c>
      <c r="I543" s="5">
        <v>43987</v>
      </c>
    </row>
    <row r="544" spans="1:9" x14ac:dyDescent="0.3">
      <c r="A544" t="s">
        <v>1237</v>
      </c>
      <c r="B544" t="s">
        <v>860</v>
      </c>
      <c r="C544" t="s">
        <v>1238</v>
      </c>
      <c r="D544" t="s">
        <v>63</v>
      </c>
      <c r="E544" t="s">
        <v>84</v>
      </c>
      <c r="F544">
        <v>9</v>
      </c>
      <c r="G544" t="s">
        <v>12</v>
      </c>
      <c r="H544" s="4">
        <v>0.92152777777777783</v>
      </c>
      <c r="I544" s="5">
        <v>43892</v>
      </c>
    </row>
    <row r="545" spans="1:9" x14ac:dyDescent="0.3">
      <c r="A545" t="s">
        <v>1239</v>
      </c>
      <c r="B545" t="s">
        <v>225</v>
      </c>
      <c r="C545" t="s">
        <v>404</v>
      </c>
      <c r="D545" t="s">
        <v>63</v>
      </c>
      <c r="E545" t="s">
        <v>80</v>
      </c>
      <c r="F545">
        <v>3</v>
      </c>
      <c r="G545" t="s">
        <v>47</v>
      </c>
      <c r="H545" s="4">
        <v>0.95486111111111116</v>
      </c>
      <c r="I545" s="5">
        <v>43927</v>
      </c>
    </row>
    <row r="546" spans="1:9" x14ac:dyDescent="0.3">
      <c r="A546" t="s">
        <v>1240</v>
      </c>
      <c r="B546" t="s">
        <v>218</v>
      </c>
      <c r="C546" t="s">
        <v>1241</v>
      </c>
      <c r="D546" t="s">
        <v>68</v>
      </c>
      <c r="E546" t="s">
        <v>40</v>
      </c>
      <c r="F546">
        <v>6</v>
      </c>
      <c r="G546" t="s">
        <v>47</v>
      </c>
      <c r="H546" s="4">
        <v>0.7368055555555556</v>
      </c>
      <c r="I546" s="5">
        <v>44068</v>
      </c>
    </row>
    <row r="547" spans="1:9" x14ac:dyDescent="0.3">
      <c r="A547" t="s">
        <v>1242</v>
      </c>
      <c r="B547" t="s">
        <v>1243</v>
      </c>
      <c r="C547" t="s">
        <v>1244</v>
      </c>
      <c r="D547" t="s">
        <v>10</v>
      </c>
      <c r="E547" t="s">
        <v>91</v>
      </c>
      <c r="F547">
        <v>10</v>
      </c>
      <c r="G547" t="s">
        <v>47</v>
      </c>
      <c r="H547" s="4">
        <v>0.47222222222222227</v>
      </c>
      <c r="I547" s="5">
        <v>43968</v>
      </c>
    </row>
    <row r="548" spans="1:9" x14ac:dyDescent="0.3">
      <c r="A548" t="s">
        <v>1245</v>
      </c>
      <c r="B548" t="s">
        <v>249</v>
      </c>
      <c r="C548" t="s">
        <v>1246</v>
      </c>
      <c r="D548" t="s">
        <v>63</v>
      </c>
      <c r="E548" t="s">
        <v>32</v>
      </c>
      <c r="F548">
        <v>6</v>
      </c>
      <c r="G548" t="s">
        <v>47</v>
      </c>
      <c r="H548" s="4">
        <v>0.91736111111111107</v>
      </c>
      <c r="I548" s="5">
        <v>44112</v>
      </c>
    </row>
    <row r="549" spans="1:9" x14ac:dyDescent="0.3">
      <c r="A549" t="s">
        <v>1247</v>
      </c>
      <c r="B549" t="s">
        <v>426</v>
      </c>
      <c r="C549" t="s">
        <v>145</v>
      </c>
      <c r="D549" t="s">
        <v>68</v>
      </c>
      <c r="E549" t="s">
        <v>64</v>
      </c>
      <c r="F549">
        <v>5</v>
      </c>
      <c r="G549" t="s">
        <v>189</v>
      </c>
      <c r="H549" s="4">
        <v>0.43611111111111112</v>
      </c>
      <c r="I549" s="5">
        <v>44092</v>
      </c>
    </row>
    <row r="550" spans="1:9" x14ac:dyDescent="0.3">
      <c r="A550" t="s">
        <v>1248</v>
      </c>
      <c r="B550" t="s">
        <v>1249</v>
      </c>
      <c r="C550" t="s">
        <v>1250</v>
      </c>
      <c r="D550" t="s">
        <v>10</v>
      </c>
      <c r="E550" t="s">
        <v>36</v>
      </c>
      <c r="F550">
        <v>7</v>
      </c>
      <c r="G550" t="s">
        <v>18</v>
      </c>
      <c r="H550" s="4">
        <v>0.68541666666666667</v>
      </c>
      <c r="I550" s="5">
        <v>43936</v>
      </c>
    </row>
    <row r="551" spans="1:9" x14ac:dyDescent="0.3">
      <c r="A551" t="s">
        <v>1251</v>
      </c>
      <c r="B551" t="s">
        <v>1252</v>
      </c>
      <c r="C551" t="s">
        <v>1253</v>
      </c>
      <c r="D551" t="s">
        <v>22</v>
      </c>
      <c r="E551" t="s">
        <v>64</v>
      </c>
      <c r="F551">
        <v>7</v>
      </c>
      <c r="G551" t="s">
        <v>18</v>
      </c>
      <c r="H551" s="4">
        <v>0.80833333333333324</v>
      </c>
      <c r="I551" s="5">
        <v>44162</v>
      </c>
    </row>
    <row r="552" spans="1:9" x14ac:dyDescent="0.3">
      <c r="A552" t="s">
        <v>1254</v>
      </c>
      <c r="B552" t="s">
        <v>8</v>
      </c>
      <c r="C552" t="s">
        <v>1255</v>
      </c>
      <c r="D552" t="s">
        <v>51</v>
      </c>
      <c r="E552" t="s">
        <v>105</v>
      </c>
      <c r="F552">
        <v>10</v>
      </c>
      <c r="G552" t="s">
        <v>12</v>
      </c>
      <c r="H552" s="4">
        <v>0.92152777777777783</v>
      </c>
      <c r="I552" s="5">
        <v>43925</v>
      </c>
    </row>
    <row r="553" spans="1:9" x14ac:dyDescent="0.3">
      <c r="A553" t="s">
        <v>1256</v>
      </c>
      <c r="B553" t="s">
        <v>586</v>
      </c>
      <c r="C553" t="s">
        <v>935</v>
      </c>
      <c r="D553" t="s">
        <v>31</v>
      </c>
      <c r="E553" t="s">
        <v>80</v>
      </c>
      <c r="F553">
        <v>10</v>
      </c>
      <c r="G553" t="s">
        <v>47</v>
      </c>
      <c r="H553" s="4">
        <v>0.95486111111111116</v>
      </c>
      <c r="I553" s="5">
        <v>44172</v>
      </c>
    </row>
    <row r="554" spans="1:9" x14ac:dyDescent="0.3">
      <c r="A554" t="s">
        <v>1257</v>
      </c>
      <c r="B554" t="s">
        <v>309</v>
      </c>
      <c r="C554" t="s">
        <v>1258</v>
      </c>
      <c r="D554" t="s">
        <v>76</v>
      </c>
      <c r="E554" t="s">
        <v>17</v>
      </c>
      <c r="F554">
        <v>5</v>
      </c>
      <c r="G554" t="s">
        <v>47</v>
      </c>
      <c r="H554" s="4">
        <v>0.7368055555555556</v>
      </c>
      <c r="I554" s="5">
        <v>44136</v>
      </c>
    </row>
    <row r="555" spans="1:9" x14ac:dyDescent="0.3">
      <c r="A555" t="s">
        <v>1259</v>
      </c>
      <c r="B555" t="s">
        <v>691</v>
      </c>
      <c r="C555" t="s">
        <v>1260</v>
      </c>
      <c r="D555" t="s">
        <v>79</v>
      </c>
      <c r="E555" t="s">
        <v>64</v>
      </c>
      <c r="F555">
        <v>4</v>
      </c>
      <c r="G555" t="s">
        <v>12</v>
      </c>
      <c r="H555" s="4">
        <v>0.47222222222222227</v>
      </c>
      <c r="I555" s="5">
        <v>43835</v>
      </c>
    </row>
    <row r="556" spans="1:9" x14ac:dyDescent="0.3">
      <c r="A556" t="s">
        <v>1261</v>
      </c>
      <c r="B556" t="s">
        <v>333</v>
      </c>
      <c r="C556" t="s">
        <v>1262</v>
      </c>
      <c r="D556" t="s">
        <v>10</v>
      </c>
      <c r="E556" t="s">
        <v>69</v>
      </c>
      <c r="F556">
        <v>6</v>
      </c>
      <c r="G556" t="s">
        <v>18</v>
      </c>
      <c r="H556" s="4">
        <v>0.91736111111111107</v>
      </c>
      <c r="I556" s="5">
        <v>43893</v>
      </c>
    </row>
    <row r="557" spans="1:9" x14ac:dyDescent="0.3">
      <c r="A557" t="s">
        <v>1263</v>
      </c>
      <c r="B557" t="s">
        <v>1264</v>
      </c>
      <c r="C557" t="s">
        <v>242</v>
      </c>
      <c r="D557" t="s">
        <v>68</v>
      </c>
      <c r="E557" t="s">
        <v>64</v>
      </c>
      <c r="F557">
        <v>6</v>
      </c>
      <c r="G557" t="s">
        <v>47</v>
      </c>
      <c r="H557" s="4">
        <v>0.43611111111111112</v>
      </c>
      <c r="I557" s="5">
        <v>43894</v>
      </c>
    </row>
    <row r="558" spans="1:9" x14ac:dyDescent="0.3">
      <c r="A558" t="s">
        <v>1265</v>
      </c>
      <c r="B558" t="s">
        <v>260</v>
      </c>
      <c r="C558" t="s">
        <v>1266</v>
      </c>
      <c r="D558" t="s">
        <v>16</v>
      </c>
      <c r="E558" t="s">
        <v>91</v>
      </c>
      <c r="F558">
        <v>6</v>
      </c>
      <c r="G558" t="s">
        <v>47</v>
      </c>
      <c r="H558" s="4">
        <v>0.68541666666666667</v>
      </c>
      <c r="I558" s="5">
        <v>44138</v>
      </c>
    </row>
    <row r="559" spans="1:9" x14ac:dyDescent="0.3">
      <c r="A559" t="s">
        <v>1267</v>
      </c>
      <c r="B559" t="s">
        <v>147</v>
      </c>
      <c r="C559" t="s">
        <v>1268</v>
      </c>
      <c r="D559" t="s">
        <v>63</v>
      </c>
      <c r="E559" t="s">
        <v>23</v>
      </c>
      <c r="F559">
        <v>7</v>
      </c>
      <c r="G559" t="s">
        <v>18</v>
      </c>
      <c r="H559" s="4">
        <v>0.80833333333333324</v>
      </c>
      <c r="I559" s="5">
        <v>43831</v>
      </c>
    </row>
    <row r="560" spans="1:9" x14ac:dyDescent="0.3">
      <c r="A560" t="s">
        <v>1269</v>
      </c>
      <c r="B560" t="s">
        <v>176</v>
      </c>
      <c r="C560" t="s">
        <v>241</v>
      </c>
      <c r="D560" t="s">
        <v>10</v>
      </c>
      <c r="E560" t="s">
        <v>11</v>
      </c>
      <c r="F560">
        <v>9</v>
      </c>
      <c r="G560" t="s">
        <v>47</v>
      </c>
      <c r="H560" s="4">
        <v>0.92152777777777783</v>
      </c>
      <c r="I560" s="5">
        <v>43936</v>
      </c>
    </row>
    <row r="561" spans="1:9" x14ac:dyDescent="0.3">
      <c r="A561" t="s">
        <v>1270</v>
      </c>
      <c r="B561" t="s">
        <v>315</v>
      </c>
      <c r="C561" t="s">
        <v>253</v>
      </c>
      <c r="D561" t="s">
        <v>63</v>
      </c>
      <c r="E561" t="s">
        <v>11</v>
      </c>
      <c r="F561">
        <v>9</v>
      </c>
      <c r="G561" t="s">
        <v>12</v>
      </c>
      <c r="H561" s="4">
        <v>0.95486111111111116</v>
      </c>
      <c r="I561" s="5">
        <v>43933</v>
      </c>
    </row>
    <row r="562" spans="1:9" x14ac:dyDescent="0.3">
      <c r="A562" t="s">
        <v>1271</v>
      </c>
      <c r="B562" t="s">
        <v>1272</v>
      </c>
      <c r="C562" t="s">
        <v>172</v>
      </c>
      <c r="D562" t="s">
        <v>76</v>
      </c>
      <c r="E562" t="s">
        <v>17</v>
      </c>
      <c r="F562">
        <v>7</v>
      </c>
      <c r="G562" t="s">
        <v>47</v>
      </c>
      <c r="H562" s="4">
        <v>0.7368055555555556</v>
      </c>
      <c r="I562" s="5">
        <v>44031</v>
      </c>
    </row>
    <row r="563" spans="1:9" x14ac:dyDescent="0.3">
      <c r="A563" t="s">
        <v>1273</v>
      </c>
      <c r="B563" t="s">
        <v>349</v>
      </c>
      <c r="C563" t="s">
        <v>1274</v>
      </c>
      <c r="D563" t="s">
        <v>79</v>
      </c>
      <c r="E563" t="s">
        <v>11</v>
      </c>
      <c r="F563">
        <v>6</v>
      </c>
      <c r="G563" t="s">
        <v>47</v>
      </c>
      <c r="H563" s="4">
        <v>0.47222222222222227</v>
      </c>
      <c r="I563" s="5">
        <v>44187</v>
      </c>
    </row>
    <row r="564" spans="1:9" x14ac:dyDescent="0.3">
      <c r="A564" t="s">
        <v>1275</v>
      </c>
      <c r="B564" t="s">
        <v>266</v>
      </c>
      <c r="C564" t="s">
        <v>1276</v>
      </c>
      <c r="D564" t="s">
        <v>10</v>
      </c>
      <c r="E564" t="s">
        <v>17</v>
      </c>
      <c r="F564">
        <v>8</v>
      </c>
      <c r="G564" t="s">
        <v>18</v>
      </c>
      <c r="H564" s="4">
        <v>0.91736111111111107</v>
      </c>
      <c r="I564" s="5">
        <v>43999</v>
      </c>
    </row>
    <row r="565" spans="1:9" x14ac:dyDescent="0.3">
      <c r="A565" t="s">
        <v>1277</v>
      </c>
      <c r="B565" t="s">
        <v>233</v>
      </c>
      <c r="C565" t="s">
        <v>929</v>
      </c>
      <c r="D565" t="s">
        <v>22</v>
      </c>
      <c r="E565" t="s">
        <v>105</v>
      </c>
      <c r="F565">
        <v>9</v>
      </c>
      <c r="G565" t="s">
        <v>18</v>
      </c>
      <c r="H565" s="4">
        <v>0.43611111111111112</v>
      </c>
      <c r="I565" s="5">
        <v>43838</v>
      </c>
    </row>
    <row r="566" spans="1:9" x14ac:dyDescent="0.3">
      <c r="A566" t="s">
        <v>1278</v>
      </c>
      <c r="B566" t="s">
        <v>467</v>
      </c>
      <c r="C566" t="s">
        <v>1279</v>
      </c>
      <c r="D566" t="s">
        <v>10</v>
      </c>
      <c r="E566" t="s">
        <v>11</v>
      </c>
      <c r="F566">
        <v>10</v>
      </c>
      <c r="G566" t="s">
        <v>12</v>
      </c>
      <c r="H566" s="4">
        <v>0.68541666666666667</v>
      </c>
      <c r="I566" s="5">
        <v>43917</v>
      </c>
    </row>
    <row r="567" spans="1:9" x14ac:dyDescent="0.3">
      <c r="A567" t="s">
        <v>1280</v>
      </c>
      <c r="B567" t="s">
        <v>1281</v>
      </c>
      <c r="C567" t="s">
        <v>1282</v>
      </c>
      <c r="D567" t="s">
        <v>10</v>
      </c>
      <c r="E567" t="s">
        <v>105</v>
      </c>
      <c r="F567">
        <v>3</v>
      </c>
      <c r="G567" t="s">
        <v>47</v>
      </c>
      <c r="H567" s="4">
        <v>0.80833333333333324</v>
      </c>
      <c r="I567" s="5">
        <v>44079</v>
      </c>
    </row>
    <row r="568" spans="1:9" x14ac:dyDescent="0.3">
      <c r="A568" t="s">
        <v>1283</v>
      </c>
      <c r="B568" t="s">
        <v>1284</v>
      </c>
      <c r="C568" t="s">
        <v>1285</v>
      </c>
      <c r="D568" t="s">
        <v>22</v>
      </c>
      <c r="E568" t="s">
        <v>69</v>
      </c>
      <c r="F568">
        <v>10</v>
      </c>
      <c r="G568" t="s">
        <v>47</v>
      </c>
      <c r="H568" s="4">
        <v>0.92152777777777783</v>
      </c>
      <c r="I568" s="5">
        <v>44098</v>
      </c>
    </row>
    <row r="569" spans="1:9" x14ac:dyDescent="0.3">
      <c r="A569" t="s">
        <v>1286</v>
      </c>
      <c r="B569" t="s">
        <v>415</v>
      </c>
      <c r="C569" t="s">
        <v>1287</v>
      </c>
      <c r="D569" t="s">
        <v>31</v>
      </c>
      <c r="E569" t="s">
        <v>130</v>
      </c>
      <c r="F569">
        <v>5</v>
      </c>
      <c r="G569" t="s">
        <v>47</v>
      </c>
      <c r="H569" s="4">
        <v>0.95486111111111116</v>
      </c>
      <c r="I569" s="5">
        <v>44035</v>
      </c>
    </row>
    <row r="570" spans="1:9" x14ac:dyDescent="0.3">
      <c r="A570" t="s">
        <v>1288</v>
      </c>
      <c r="B570" t="s">
        <v>716</v>
      </c>
      <c r="C570" t="s">
        <v>313</v>
      </c>
      <c r="D570" t="s">
        <v>79</v>
      </c>
      <c r="E570" t="s">
        <v>84</v>
      </c>
      <c r="F570">
        <v>10</v>
      </c>
      <c r="G570" t="s">
        <v>47</v>
      </c>
      <c r="H570" s="4">
        <v>0.7368055555555556</v>
      </c>
      <c r="I570" s="5">
        <v>44003</v>
      </c>
    </row>
    <row r="571" spans="1:9" x14ac:dyDescent="0.3">
      <c r="A571" t="s">
        <v>1289</v>
      </c>
      <c r="B571" t="s">
        <v>100</v>
      </c>
      <c r="C571" t="s">
        <v>569</v>
      </c>
      <c r="D571" t="s">
        <v>16</v>
      </c>
      <c r="E571" t="s">
        <v>84</v>
      </c>
      <c r="F571">
        <v>8</v>
      </c>
      <c r="G571" t="s">
        <v>47</v>
      </c>
      <c r="H571" s="4">
        <v>0.47222222222222227</v>
      </c>
      <c r="I571" s="5">
        <v>43954</v>
      </c>
    </row>
    <row r="572" spans="1:9" x14ac:dyDescent="0.3">
      <c r="A572" t="s">
        <v>1290</v>
      </c>
      <c r="B572" t="s">
        <v>1291</v>
      </c>
      <c r="C572" t="s">
        <v>732</v>
      </c>
      <c r="D572" t="s">
        <v>16</v>
      </c>
      <c r="E572" t="s">
        <v>17</v>
      </c>
      <c r="F572">
        <v>6</v>
      </c>
      <c r="G572" t="s">
        <v>189</v>
      </c>
      <c r="H572" s="4">
        <v>0.91736111111111107</v>
      </c>
      <c r="I572" s="5">
        <v>44090</v>
      </c>
    </row>
    <row r="573" spans="1:9" x14ac:dyDescent="0.3">
      <c r="A573" t="s">
        <v>1292</v>
      </c>
      <c r="B573" t="s">
        <v>485</v>
      </c>
      <c r="C573" t="s">
        <v>104</v>
      </c>
      <c r="D573" t="s">
        <v>16</v>
      </c>
      <c r="E573" t="s">
        <v>91</v>
      </c>
      <c r="F573">
        <v>8</v>
      </c>
      <c r="G573" t="s">
        <v>47</v>
      </c>
      <c r="H573" s="4">
        <v>0.43611111111111112</v>
      </c>
      <c r="I573" s="5">
        <v>44153</v>
      </c>
    </row>
    <row r="574" spans="1:9" x14ac:dyDescent="0.3">
      <c r="A574" t="s">
        <v>1293</v>
      </c>
      <c r="B574" t="s">
        <v>443</v>
      </c>
      <c r="C574" t="s">
        <v>236</v>
      </c>
      <c r="D574" t="s">
        <v>51</v>
      </c>
      <c r="E574" t="s">
        <v>64</v>
      </c>
      <c r="F574">
        <v>10</v>
      </c>
      <c r="G574" t="s">
        <v>18</v>
      </c>
      <c r="H574" s="4">
        <v>0.68541666666666667</v>
      </c>
      <c r="I574" s="5">
        <v>43894</v>
      </c>
    </row>
    <row r="575" spans="1:9" x14ac:dyDescent="0.3">
      <c r="A575" t="s">
        <v>1294</v>
      </c>
      <c r="B575" t="s">
        <v>385</v>
      </c>
      <c r="C575" t="s">
        <v>229</v>
      </c>
      <c r="D575" t="s">
        <v>68</v>
      </c>
      <c r="E575" t="s">
        <v>84</v>
      </c>
      <c r="F575">
        <v>4</v>
      </c>
      <c r="G575" t="s">
        <v>47</v>
      </c>
      <c r="H575" s="4">
        <v>0.80833333333333324</v>
      </c>
      <c r="I575" s="5">
        <v>44146</v>
      </c>
    </row>
    <row r="576" spans="1:9" x14ac:dyDescent="0.3">
      <c r="A576" t="s">
        <v>1295</v>
      </c>
      <c r="B576" t="s">
        <v>49</v>
      </c>
      <c r="C576" t="s">
        <v>1296</v>
      </c>
      <c r="D576" t="s">
        <v>51</v>
      </c>
      <c r="E576" t="s">
        <v>36</v>
      </c>
      <c r="F576">
        <v>7</v>
      </c>
      <c r="G576" t="s">
        <v>47</v>
      </c>
      <c r="H576" s="4">
        <v>0.92152777777777783</v>
      </c>
      <c r="I576" s="5">
        <v>43941</v>
      </c>
    </row>
    <row r="577" spans="1:9" x14ac:dyDescent="0.3">
      <c r="A577" t="s">
        <v>1297</v>
      </c>
      <c r="B577" t="s">
        <v>328</v>
      </c>
      <c r="C577" t="s">
        <v>1298</v>
      </c>
      <c r="D577" t="s">
        <v>31</v>
      </c>
      <c r="E577" t="s">
        <v>32</v>
      </c>
      <c r="F577">
        <v>4</v>
      </c>
      <c r="G577" t="s">
        <v>18</v>
      </c>
      <c r="H577" s="4">
        <v>0.95486111111111116</v>
      </c>
      <c r="I577" s="5">
        <v>43953</v>
      </c>
    </row>
    <row r="578" spans="1:9" x14ac:dyDescent="0.3">
      <c r="A578" t="s">
        <v>1299</v>
      </c>
      <c r="B578" t="s">
        <v>855</v>
      </c>
      <c r="C578" t="s">
        <v>1300</v>
      </c>
      <c r="D578" t="s">
        <v>68</v>
      </c>
      <c r="E578" t="s">
        <v>27</v>
      </c>
      <c r="F578">
        <v>6</v>
      </c>
      <c r="G578" t="s">
        <v>18</v>
      </c>
      <c r="H578" s="4">
        <v>0.7368055555555556</v>
      </c>
      <c r="I578" s="5">
        <v>43893</v>
      </c>
    </row>
    <row r="579" spans="1:9" x14ac:dyDescent="0.3">
      <c r="A579" t="s">
        <v>1301</v>
      </c>
      <c r="B579" t="s">
        <v>1302</v>
      </c>
      <c r="C579" t="s">
        <v>1303</v>
      </c>
      <c r="D579" t="s">
        <v>79</v>
      </c>
      <c r="E579" t="s">
        <v>80</v>
      </c>
      <c r="F579">
        <v>9</v>
      </c>
      <c r="G579" t="s">
        <v>47</v>
      </c>
      <c r="H579" s="4">
        <v>0.47222222222222227</v>
      </c>
      <c r="I579" s="5">
        <v>43904</v>
      </c>
    </row>
    <row r="580" spans="1:9" x14ac:dyDescent="0.3">
      <c r="A580" t="s">
        <v>1304</v>
      </c>
      <c r="B580" t="s">
        <v>392</v>
      </c>
      <c r="C580" t="s">
        <v>672</v>
      </c>
      <c r="D580" t="s">
        <v>31</v>
      </c>
      <c r="E580" t="s">
        <v>40</v>
      </c>
      <c r="F580">
        <v>7</v>
      </c>
      <c r="G580" t="s">
        <v>12</v>
      </c>
      <c r="H580" s="4">
        <v>0.91736111111111107</v>
      </c>
      <c r="I580" s="5">
        <v>44180</v>
      </c>
    </row>
    <row r="581" spans="1:9" x14ac:dyDescent="0.3">
      <c r="A581" t="s">
        <v>1305</v>
      </c>
      <c r="B581" t="s">
        <v>1306</v>
      </c>
      <c r="C581" t="s">
        <v>1307</v>
      </c>
      <c r="D581" t="s">
        <v>79</v>
      </c>
      <c r="E581" t="s">
        <v>91</v>
      </c>
      <c r="F581">
        <v>4</v>
      </c>
      <c r="G581" t="s">
        <v>343</v>
      </c>
      <c r="H581" s="4">
        <v>0.43611111111111112</v>
      </c>
      <c r="I581" s="5">
        <v>43999</v>
      </c>
    </row>
    <row r="582" spans="1:9" x14ac:dyDescent="0.3">
      <c r="A582" t="s">
        <v>1308</v>
      </c>
      <c r="B582" t="s">
        <v>306</v>
      </c>
      <c r="C582" t="s">
        <v>636</v>
      </c>
      <c r="D582" t="s">
        <v>68</v>
      </c>
      <c r="E582" t="s">
        <v>32</v>
      </c>
      <c r="F582">
        <v>8</v>
      </c>
      <c r="G582" t="s">
        <v>47</v>
      </c>
      <c r="H582" s="4">
        <v>0.68541666666666667</v>
      </c>
      <c r="I582" s="5">
        <v>44187</v>
      </c>
    </row>
    <row r="583" spans="1:9" x14ac:dyDescent="0.3">
      <c r="A583" t="s">
        <v>1309</v>
      </c>
      <c r="B583" t="s">
        <v>212</v>
      </c>
      <c r="C583" t="s">
        <v>1310</v>
      </c>
      <c r="D583" t="s">
        <v>10</v>
      </c>
      <c r="E583" t="s">
        <v>32</v>
      </c>
      <c r="F583">
        <v>10</v>
      </c>
      <c r="G583" t="s">
        <v>18</v>
      </c>
      <c r="H583" s="4">
        <v>0.80833333333333324</v>
      </c>
      <c r="I583" s="5">
        <v>44015</v>
      </c>
    </row>
    <row r="584" spans="1:9" x14ac:dyDescent="0.3">
      <c r="A584" t="s">
        <v>1311</v>
      </c>
      <c r="B584" t="s">
        <v>820</v>
      </c>
      <c r="C584" t="s">
        <v>1312</v>
      </c>
      <c r="D584" t="s">
        <v>22</v>
      </c>
      <c r="E584" t="s">
        <v>105</v>
      </c>
      <c r="F584">
        <v>3</v>
      </c>
      <c r="G584" t="s">
        <v>47</v>
      </c>
      <c r="H584" s="4">
        <v>0.92152777777777783</v>
      </c>
      <c r="I584" s="5">
        <v>44080</v>
      </c>
    </row>
    <row r="585" spans="1:9" x14ac:dyDescent="0.3">
      <c r="A585" t="s">
        <v>1313</v>
      </c>
      <c r="B585" t="s">
        <v>785</v>
      </c>
      <c r="C585" t="s">
        <v>1314</v>
      </c>
      <c r="D585" t="s">
        <v>63</v>
      </c>
      <c r="E585" t="s">
        <v>64</v>
      </c>
      <c r="F585">
        <v>8</v>
      </c>
      <c r="G585" t="s">
        <v>47</v>
      </c>
      <c r="H585" s="4">
        <v>0.95486111111111116</v>
      </c>
      <c r="I585" s="5">
        <v>44178</v>
      </c>
    </row>
    <row r="586" spans="1:9" x14ac:dyDescent="0.3">
      <c r="A586" t="s">
        <v>1315</v>
      </c>
      <c r="B586" t="s">
        <v>266</v>
      </c>
      <c r="C586" t="s">
        <v>236</v>
      </c>
      <c r="D586" t="s">
        <v>76</v>
      </c>
      <c r="E586" t="s">
        <v>69</v>
      </c>
      <c r="F586">
        <v>5</v>
      </c>
      <c r="G586" t="s">
        <v>12</v>
      </c>
      <c r="H586" s="4">
        <v>0.7368055555555556</v>
      </c>
      <c r="I586" s="5">
        <v>44023</v>
      </c>
    </row>
    <row r="587" spans="1:9" x14ac:dyDescent="0.3">
      <c r="A587" t="s">
        <v>1316</v>
      </c>
      <c r="B587" t="s">
        <v>247</v>
      </c>
      <c r="C587" t="s">
        <v>1317</v>
      </c>
      <c r="D587" t="s">
        <v>63</v>
      </c>
      <c r="E587" t="s">
        <v>17</v>
      </c>
      <c r="F587">
        <v>3</v>
      </c>
      <c r="G587" t="s">
        <v>47</v>
      </c>
      <c r="H587" s="4">
        <v>0.47222222222222227</v>
      </c>
      <c r="I587" s="5">
        <v>43886</v>
      </c>
    </row>
    <row r="588" spans="1:9" x14ac:dyDescent="0.3">
      <c r="A588" t="s">
        <v>1318</v>
      </c>
      <c r="B588" t="s">
        <v>128</v>
      </c>
      <c r="C588" t="s">
        <v>1319</v>
      </c>
      <c r="D588" t="s">
        <v>22</v>
      </c>
      <c r="E588" t="s">
        <v>91</v>
      </c>
      <c r="F588">
        <v>10</v>
      </c>
      <c r="G588" t="s">
        <v>47</v>
      </c>
      <c r="H588" s="4">
        <v>0.91736111111111107</v>
      </c>
      <c r="I588" s="5">
        <v>43889</v>
      </c>
    </row>
    <row r="589" spans="1:9" x14ac:dyDescent="0.3">
      <c r="A589" t="s">
        <v>1320</v>
      </c>
      <c r="B589" t="s">
        <v>707</v>
      </c>
      <c r="C589" t="s">
        <v>1321</v>
      </c>
      <c r="D589" t="s">
        <v>10</v>
      </c>
      <c r="E589" t="s">
        <v>17</v>
      </c>
      <c r="F589">
        <v>4</v>
      </c>
      <c r="G589" t="s">
        <v>47</v>
      </c>
      <c r="H589" s="4">
        <v>0.43611111111111112</v>
      </c>
      <c r="I589" s="5">
        <v>43927</v>
      </c>
    </row>
    <row r="590" spans="1:9" x14ac:dyDescent="0.3">
      <c r="A590" t="s">
        <v>1322</v>
      </c>
      <c r="B590" t="s">
        <v>1072</v>
      </c>
      <c r="C590" t="s">
        <v>1296</v>
      </c>
      <c r="D590" t="s">
        <v>31</v>
      </c>
      <c r="E590" t="s">
        <v>91</v>
      </c>
      <c r="F590">
        <v>6</v>
      </c>
      <c r="G590" t="s">
        <v>12</v>
      </c>
      <c r="H590" s="4">
        <v>0.68541666666666667</v>
      </c>
      <c r="I590" s="5">
        <v>43834</v>
      </c>
    </row>
    <row r="591" spans="1:9" x14ac:dyDescent="0.3">
      <c r="A591" t="s">
        <v>1323</v>
      </c>
      <c r="B591" t="s">
        <v>554</v>
      </c>
      <c r="C591" t="s">
        <v>1246</v>
      </c>
      <c r="D591" t="s">
        <v>63</v>
      </c>
      <c r="E591" t="s">
        <v>32</v>
      </c>
      <c r="F591">
        <v>8</v>
      </c>
      <c r="G591" t="s">
        <v>12</v>
      </c>
      <c r="H591" s="4">
        <v>0.80833333333333324</v>
      </c>
      <c r="I591" s="5">
        <v>44021</v>
      </c>
    </row>
    <row r="592" spans="1:9" x14ac:dyDescent="0.3">
      <c r="A592" t="s">
        <v>1324</v>
      </c>
      <c r="B592" t="s">
        <v>737</v>
      </c>
      <c r="C592" t="s">
        <v>1325</v>
      </c>
      <c r="D592" t="s">
        <v>16</v>
      </c>
      <c r="E592" t="s">
        <v>23</v>
      </c>
      <c r="F592">
        <v>5</v>
      </c>
      <c r="G592" t="s">
        <v>47</v>
      </c>
      <c r="H592" s="4">
        <v>0.92152777777777783</v>
      </c>
      <c r="I592" s="5">
        <v>43892</v>
      </c>
    </row>
    <row r="593" spans="1:9" x14ac:dyDescent="0.3">
      <c r="A593" t="s">
        <v>1326</v>
      </c>
      <c r="B593" t="s">
        <v>98</v>
      </c>
      <c r="C593" t="s">
        <v>129</v>
      </c>
      <c r="D593" t="s">
        <v>76</v>
      </c>
      <c r="E593" t="s">
        <v>11</v>
      </c>
      <c r="F593">
        <v>4</v>
      </c>
      <c r="G593" t="s">
        <v>18</v>
      </c>
      <c r="H593" s="4">
        <v>0.95486111111111116</v>
      </c>
      <c r="I593" s="5">
        <v>44182</v>
      </c>
    </row>
    <row r="594" spans="1:9" x14ac:dyDescent="0.3">
      <c r="A594" t="s">
        <v>1327</v>
      </c>
      <c r="B594" t="s">
        <v>888</v>
      </c>
      <c r="C594" t="s">
        <v>216</v>
      </c>
      <c r="D594" t="s">
        <v>79</v>
      </c>
      <c r="E594" t="s">
        <v>27</v>
      </c>
      <c r="F594">
        <v>5</v>
      </c>
      <c r="G594" t="s">
        <v>18</v>
      </c>
      <c r="H594" s="4">
        <v>0.7368055555555556</v>
      </c>
      <c r="I594" s="5">
        <v>43840</v>
      </c>
    </row>
    <row r="595" spans="1:9" x14ac:dyDescent="0.3">
      <c r="A595" t="s">
        <v>1328</v>
      </c>
      <c r="B595" t="s">
        <v>1329</v>
      </c>
      <c r="C595" t="s">
        <v>1330</v>
      </c>
      <c r="D595" t="s">
        <v>76</v>
      </c>
      <c r="E595" t="s">
        <v>23</v>
      </c>
      <c r="F595">
        <v>8</v>
      </c>
      <c r="G595" t="s">
        <v>12</v>
      </c>
      <c r="H595" s="4">
        <v>0.47222222222222227</v>
      </c>
      <c r="I595" s="5">
        <v>43877</v>
      </c>
    </row>
    <row r="596" spans="1:9" x14ac:dyDescent="0.3">
      <c r="A596" t="s">
        <v>1331</v>
      </c>
      <c r="B596" t="s">
        <v>339</v>
      </c>
      <c r="C596" t="s">
        <v>1332</v>
      </c>
      <c r="D596" t="s">
        <v>63</v>
      </c>
      <c r="E596" t="s">
        <v>64</v>
      </c>
      <c r="F596">
        <v>6</v>
      </c>
      <c r="G596" t="s">
        <v>47</v>
      </c>
      <c r="H596" s="4">
        <v>0.91736111111111107</v>
      </c>
      <c r="I596" s="5">
        <v>43990</v>
      </c>
    </row>
    <row r="597" spans="1:9" x14ac:dyDescent="0.3">
      <c r="A597" t="s">
        <v>1333</v>
      </c>
      <c r="B597" t="s">
        <v>361</v>
      </c>
      <c r="C597" t="s">
        <v>1117</v>
      </c>
      <c r="D597" t="s">
        <v>51</v>
      </c>
      <c r="E597" t="s">
        <v>32</v>
      </c>
      <c r="F597">
        <v>5</v>
      </c>
      <c r="G597" t="s">
        <v>18</v>
      </c>
      <c r="H597" s="4">
        <v>0.43611111111111112</v>
      </c>
      <c r="I597" s="5">
        <v>44052</v>
      </c>
    </row>
    <row r="598" spans="1:9" x14ac:dyDescent="0.3">
      <c r="A598" t="s">
        <v>1334</v>
      </c>
      <c r="B598" t="s">
        <v>297</v>
      </c>
      <c r="C598" t="s">
        <v>50</v>
      </c>
      <c r="D598" t="s">
        <v>31</v>
      </c>
      <c r="E598" t="s">
        <v>69</v>
      </c>
      <c r="F598">
        <v>9</v>
      </c>
      <c r="G598" t="s">
        <v>47</v>
      </c>
      <c r="H598" s="4">
        <v>0.68541666666666667</v>
      </c>
      <c r="I598" s="5">
        <v>44147</v>
      </c>
    </row>
    <row r="599" spans="1:9" x14ac:dyDescent="0.3">
      <c r="A599" t="s">
        <v>1335</v>
      </c>
      <c r="B599" t="s">
        <v>1072</v>
      </c>
      <c r="C599" t="s">
        <v>429</v>
      </c>
      <c r="D599" t="s">
        <v>10</v>
      </c>
      <c r="E599" t="s">
        <v>80</v>
      </c>
      <c r="F599">
        <v>3</v>
      </c>
      <c r="G599" t="s">
        <v>12</v>
      </c>
      <c r="H599" s="4">
        <v>0.80833333333333324</v>
      </c>
      <c r="I599" s="5">
        <v>43932</v>
      </c>
    </row>
    <row r="600" spans="1:9" x14ac:dyDescent="0.3">
      <c r="A600" t="s">
        <v>1336</v>
      </c>
      <c r="B600" t="s">
        <v>128</v>
      </c>
      <c r="C600" t="s">
        <v>1337</v>
      </c>
      <c r="D600" t="s">
        <v>22</v>
      </c>
      <c r="E600" t="s">
        <v>69</v>
      </c>
      <c r="F600">
        <v>6</v>
      </c>
      <c r="G600" t="s">
        <v>18</v>
      </c>
      <c r="H600" s="4">
        <v>0.92152777777777783</v>
      </c>
      <c r="I600" s="5">
        <v>43959</v>
      </c>
    </row>
    <row r="601" spans="1:9" x14ac:dyDescent="0.3">
      <c r="A601" t="s">
        <v>1338</v>
      </c>
      <c r="B601" t="s">
        <v>349</v>
      </c>
      <c r="C601" t="s">
        <v>1339</v>
      </c>
      <c r="D601" t="s">
        <v>76</v>
      </c>
      <c r="E601" t="s">
        <v>91</v>
      </c>
      <c r="F601">
        <v>5</v>
      </c>
      <c r="G601" t="s">
        <v>12</v>
      </c>
      <c r="H601" s="4">
        <v>0.95486111111111116</v>
      </c>
      <c r="I601" s="5">
        <v>43839</v>
      </c>
    </row>
    <row r="602" spans="1:9" x14ac:dyDescent="0.3">
      <c r="A602" t="s">
        <v>1340</v>
      </c>
      <c r="B602" t="s">
        <v>616</v>
      </c>
      <c r="C602" t="s">
        <v>1341</v>
      </c>
      <c r="D602" t="s">
        <v>16</v>
      </c>
      <c r="E602" t="s">
        <v>17</v>
      </c>
      <c r="F602">
        <v>3</v>
      </c>
      <c r="G602" t="s">
        <v>47</v>
      </c>
      <c r="H602" s="4">
        <v>0.7368055555555556</v>
      </c>
      <c r="I602" s="5">
        <v>44130</v>
      </c>
    </row>
    <row r="603" spans="1:9" x14ac:dyDescent="0.3">
      <c r="A603" t="s">
        <v>1342</v>
      </c>
      <c r="B603" t="s">
        <v>1343</v>
      </c>
      <c r="C603" t="s">
        <v>1344</v>
      </c>
      <c r="D603" t="s">
        <v>10</v>
      </c>
      <c r="E603" t="s">
        <v>40</v>
      </c>
      <c r="F603">
        <v>10</v>
      </c>
      <c r="G603" t="s">
        <v>47</v>
      </c>
      <c r="H603" s="4">
        <v>0.47222222222222227</v>
      </c>
      <c r="I603" s="5">
        <v>44100</v>
      </c>
    </row>
    <row r="604" spans="1:9" x14ac:dyDescent="0.3">
      <c r="A604" t="s">
        <v>1345</v>
      </c>
      <c r="B604" t="s">
        <v>406</v>
      </c>
      <c r="C604" t="s">
        <v>1346</v>
      </c>
      <c r="D604" t="s">
        <v>10</v>
      </c>
      <c r="E604" t="s">
        <v>23</v>
      </c>
      <c r="F604">
        <v>5</v>
      </c>
      <c r="G604" t="s">
        <v>47</v>
      </c>
      <c r="H604" s="4">
        <v>0.91736111111111107</v>
      </c>
      <c r="I604" s="5">
        <v>44154</v>
      </c>
    </row>
    <row r="605" spans="1:9" x14ac:dyDescent="0.3">
      <c r="A605" t="s">
        <v>1347</v>
      </c>
      <c r="B605" t="s">
        <v>116</v>
      </c>
      <c r="C605" t="s">
        <v>174</v>
      </c>
      <c r="D605" t="s">
        <v>16</v>
      </c>
      <c r="E605" t="s">
        <v>64</v>
      </c>
      <c r="F605">
        <v>6</v>
      </c>
      <c r="G605" t="s">
        <v>12</v>
      </c>
      <c r="H605" s="4">
        <v>0.43611111111111112</v>
      </c>
      <c r="I605" s="5">
        <v>43994</v>
      </c>
    </row>
    <row r="606" spans="1:9" x14ac:dyDescent="0.3">
      <c r="A606" t="s">
        <v>1348</v>
      </c>
      <c r="B606" t="s">
        <v>268</v>
      </c>
      <c r="C606" t="s">
        <v>441</v>
      </c>
      <c r="D606" t="s">
        <v>16</v>
      </c>
      <c r="E606" t="s">
        <v>23</v>
      </c>
      <c r="F606">
        <v>9</v>
      </c>
      <c r="G606" t="s">
        <v>12</v>
      </c>
      <c r="H606" s="4">
        <v>0.68541666666666667</v>
      </c>
      <c r="I606" s="5">
        <v>43970</v>
      </c>
    </row>
    <row r="607" spans="1:9" x14ac:dyDescent="0.3">
      <c r="A607" t="s">
        <v>1349</v>
      </c>
      <c r="B607" t="s">
        <v>181</v>
      </c>
      <c r="C607" t="s">
        <v>1350</v>
      </c>
      <c r="D607" t="s">
        <v>68</v>
      </c>
      <c r="E607" t="s">
        <v>32</v>
      </c>
      <c r="F607">
        <v>8</v>
      </c>
      <c r="G607" t="s">
        <v>47</v>
      </c>
      <c r="H607" s="4">
        <v>0.80833333333333324</v>
      </c>
      <c r="I607" s="5">
        <v>43937</v>
      </c>
    </row>
    <row r="608" spans="1:9" x14ac:dyDescent="0.3">
      <c r="A608" t="s">
        <v>1351</v>
      </c>
      <c r="B608" t="s">
        <v>1070</v>
      </c>
      <c r="C608" t="s">
        <v>1352</v>
      </c>
      <c r="D608" t="s">
        <v>31</v>
      </c>
      <c r="E608" t="s">
        <v>105</v>
      </c>
      <c r="F608">
        <v>6</v>
      </c>
      <c r="G608" t="s">
        <v>47</v>
      </c>
      <c r="H608" s="4">
        <v>0.92152777777777783</v>
      </c>
      <c r="I608" s="5">
        <v>44154</v>
      </c>
    </row>
    <row r="609" spans="1:9" x14ac:dyDescent="0.3">
      <c r="A609" t="s">
        <v>1353</v>
      </c>
      <c r="B609" t="s">
        <v>379</v>
      </c>
      <c r="C609" t="s">
        <v>1213</v>
      </c>
      <c r="D609" t="s">
        <v>10</v>
      </c>
      <c r="E609" t="s">
        <v>11</v>
      </c>
      <c r="F609">
        <v>7</v>
      </c>
      <c r="G609" t="s">
        <v>47</v>
      </c>
      <c r="H609" s="4">
        <v>0.95486111111111116</v>
      </c>
      <c r="I609" s="5">
        <v>43891</v>
      </c>
    </row>
    <row r="610" spans="1:9" x14ac:dyDescent="0.3">
      <c r="A610" t="s">
        <v>1354</v>
      </c>
      <c r="B610" t="s">
        <v>1355</v>
      </c>
      <c r="C610" t="s">
        <v>1356</v>
      </c>
      <c r="D610" t="s">
        <v>68</v>
      </c>
      <c r="E610" t="s">
        <v>36</v>
      </c>
      <c r="F610">
        <v>9</v>
      </c>
      <c r="G610" t="s">
        <v>47</v>
      </c>
      <c r="H610" s="4">
        <v>0.7368055555555556</v>
      </c>
      <c r="I610" s="5">
        <v>43937</v>
      </c>
    </row>
    <row r="611" spans="1:9" x14ac:dyDescent="0.3">
      <c r="A611" t="s">
        <v>1357</v>
      </c>
      <c r="B611" t="s">
        <v>1358</v>
      </c>
      <c r="C611" t="s">
        <v>1359</v>
      </c>
      <c r="D611" t="s">
        <v>68</v>
      </c>
      <c r="E611" t="s">
        <v>36</v>
      </c>
      <c r="F611">
        <v>7</v>
      </c>
      <c r="G611" t="s">
        <v>189</v>
      </c>
      <c r="H611" s="4">
        <v>0.47222222222222227</v>
      </c>
      <c r="I611" s="5">
        <v>44118</v>
      </c>
    </row>
    <row r="612" spans="1:9" x14ac:dyDescent="0.3">
      <c r="A612" t="s">
        <v>1360</v>
      </c>
      <c r="B612" t="s">
        <v>1361</v>
      </c>
      <c r="C612" t="s">
        <v>1362</v>
      </c>
      <c r="D612" t="s">
        <v>68</v>
      </c>
      <c r="E612" t="s">
        <v>40</v>
      </c>
      <c r="F612">
        <v>9</v>
      </c>
      <c r="G612" t="s">
        <v>12</v>
      </c>
      <c r="H612" s="4">
        <v>0.91736111111111107</v>
      </c>
      <c r="I612" s="5">
        <v>44144</v>
      </c>
    </row>
    <row r="613" spans="1:9" x14ac:dyDescent="0.3">
      <c r="A613" t="s">
        <v>1363</v>
      </c>
      <c r="B613" t="s">
        <v>647</v>
      </c>
      <c r="C613" t="s">
        <v>1364</v>
      </c>
      <c r="D613" t="s">
        <v>51</v>
      </c>
      <c r="E613" t="s">
        <v>130</v>
      </c>
      <c r="F613">
        <v>8</v>
      </c>
      <c r="G613" t="s">
        <v>18</v>
      </c>
      <c r="H613" s="4">
        <v>0.43611111111111112</v>
      </c>
      <c r="I613" s="5">
        <v>43857</v>
      </c>
    </row>
    <row r="614" spans="1:9" x14ac:dyDescent="0.3">
      <c r="A614" t="s">
        <v>1365</v>
      </c>
      <c r="B614" t="s">
        <v>1366</v>
      </c>
      <c r="C614" t="s">
        <v>1367</v>
      </c>
      <c r="D614" t="s">
        <v>68</v>
      </c>
      <c r="E614" t="s">
        <v>27</v>
      </c>
      <c r="F614">
        <v>3</v>
      </c>
      <c r="G614" t="s">
        <v>12</v>
      </c>
      <c r="H614" s="4">
        <v>0.68541666666666667</v>
      </c>
      <c r="I614" s="5">
        <v>43926</v>
      </c>
    </row>
    <row r="615" spans="1:9" x14ac:dyDescent="0.3">
      <c r="A615" t="s">
        <v>1368</v>
      </c>
      <c r="B615" t="s">
        <v>285</v>
      </c>
      <c r="C615" t="s">
        <v>968</v>
      </c>
      <c r="D615" t="s">
        <v>68</v>
      </c>
      <c r="E615" t="s">
        <v>130</v>
      </c>
      <c r="F615">
        <v>10</v>
      </c>
      <c r="G615" t="s">
        <v>47</v>
      </c>
      <c r="H615" s="4">
        <v>0.80833333333333324</v>
      </c>
      <c r="I615" s="5">
        <v>44099</v>
      </c>
    </row>
    <row r="616" spans="1:9" x14ac:dyDescent="0.3">
      <c r="A616" t="s">
        <v>1369</v>
      </c>
      <c r="B616" t="s">
        <v>1370</v>
      </c>
      <c r="C616" t="s">
        <v>1371</v>
      </c>
      <c r="D616" t="s">
        <v>22</v>
      </c>
      <c r="E616" t="s">
        <v>130</v>
      </c>
      <c r="F616">
        <v>5</v>
      </c>
      <c r="G616" t="s">
        <v>47</v>
      </c>
      <c r="H616" s="4">
        <v>0.92152777777777783</v>
      </c>
      <c r="I616" s="5">
        <v>44085</v>
      </c>
    </row>
    <row r="617" spans="1:9" x14ac:dyDescent="0.3">
      <c r="A617" t="s">
        <v>1372</v>
      </c>
      <c r="B617" t="s">
        <v>974</v>
      </c>
      <c r="C617" t="s">
        <v>1373</v>
      </c>
      <c r="D617" t="s">
        <v>16</v>
      </c>
      <c r="E617" t="s">
        <v>17</v>
      </c>
      <c r="F617">
        <v>3</v>
      </c>
      <c r="G617" t="s">
        <v>47</v>
      </c>
      <c r="H617" s="4">
        <v>0.95486111111111116</v>
      </c>
      <c r="I617" s="5">
        <v>43969</v>
      </c>
    </row>
    <row r="618" spans="1:9" x14ac:dyDescent="0.3">
      <c r="A618" t="s">
        <v>1374</v>
      </c>
      <c r="B618" t="s">
        <v>1329</v>
      </c>
      <c r="C618" t="s">
        <v>1375</v>
      </c>
      <c r="D618" t="s">
        <v>63</v>
      </c>
      <c r="E618" t="s">
        <v>23</v>
      </c>
      <c r="F618">
        <v>4</v>
      </c>
      <c r="G618" t="s">
        <v>18</v>
      </c>
      <c r="H618" s="4">
        <v>0.7368055555555556</v>
      </c>
      <c r="I618" s="5">
        <v>44179</v>
      </c>
    </row>
    <row r="619" spans="1:9" x14ac:dyDescent="0.3">
      <c r="A619" t="s">
        <v>1376</v>
      </c>
      <c r="B619" t="s">
        <v>226</v>
      </c>
      <c r="C619" t="s">
        <v>1377</v>
      </c>
      <c r="D619" t="s">
        <v>16</v>
      </c>
      <c r="E619" t="s">
        <v>32</v>
      </c>
      <c r="F619">
        <v>4</v>
      </c>
      <c r="G619" t="s">
        <v>47</v>
      </c>
      <c r="H619" s="4">
        <v>0.47222222222222227</v>
      </c>
      <c r="I619" s="5">
        <v>43943</v>
      </c>
    </row>
    <row r="620" spans="1:9" x14ac:dyDescent="0.3">
      <c r="A620" t="s">
        <v>1378</v>
      </c>
      <c r="B620" t="s">
        <v>406</v>
      </c>
      <c r="C620" t="s">
        <v>1379</v>
      </c>
      <c r="D620" t="s">
        <v>51</v>
      </c>
      <c r="E620" t="s">
        <v>27</v>
      </c>
      <c r="F620">
        <v>5</v>
      </c>
      <c r="G620" t="s">
        <v>47</v>
      </c>
      <c r="H620" s="4">
        <v>0.91736111111111107</v>
      </c>
      <c r="I620" s="5">
        <v>43849</v>
      </c>
    </row>
    <row r="621" spans="1:9" x14ac:dyDescent="0.3">
      <c r="A621" t="s">
        <v>1380</v>
      </c>
      <c r="B621" t="s">
        <v>1014</v>
      </c>
      <c r="C621" t="s">
        <v>241</v>
      </c>
      <c r="D621" t="s">
        <v>22</v>
      </c>
      <c r="E621" t="s">
        <v>64</v>
      </c>
      <c r="F621">
        <v>6</v>
      </c>
      <c r="G621" t="s">
        <v>47</v>
      </c>
      <c r="H621" s="4">
        <v>0.43611111111111112</v>
      </c>
      <c r="I621" s="5">
        <v>44063</v>
      </c>
    </row>
    <row r="622" spans="1:9" x14ac:dyDescent="0.3">
      <c r="A622" t="s">
        <v>1381</v>
      </c>
      <c r="B622" t="s">
        <v>440</v>
      </c>
      <c r="C622" t="s">
        <v>893</v>
      </c>
      <c r="D622" t="s">
        <v>68</v>
      </c>
      <c r="E622" t="s">
        <v>17</v>
      </c>
      <c r="F622">
        <v>5</v>
      </c>
      <c r="G622" t="s">
        <v>18</v>
      </c>
      <c r="H622" s="4">
        <v>0.68541666666666667</v>
      </c>
      <c r="I622" s="5">
        <v>44128</v>
      </c>
    </row>
    <row r="623" spans="1:9" x14ac:dyDescent="0.3">
      <c r="A623" t="s">
        <v>1382</v>
      </c>
      <c r="B623" t="s">
        <v>176</v>
      </c>
      <c r="C623" t="s">
        <v>645</v>
      </c>
      <c r="D623" t="s">
        <v>63</v>
      </c>
      <c r="E623" t="s">
        <v>105</v>
      </c>
      <c r="F623">
        <v>8</v>
      </c>
      <c r="G623" t="s">
        <v>47</v>
      </c>
      <c r="H623" s="4">
        <v>0.80833333333333324</v>
      </c>
      <c r="I623" s="5">
        <v>44081</v>
      </c>
    </row>
    <row r="624" spans="1:9" x14ac:dyDescent="0.3">
      <c r="A624" t="s">
        <v>1383</v>
      </c>
      <c r="B624" t="s">
        <v>14</v>
      </c>
      <c r="C624" t="s">
        <v>1384</v>
      </c>
      <c r="D624" t="s">
        <v>22</v>
      </c>
      <c r="E624" t="s">
        <v>84</v>
      </c>
      <c r="F624">
        <v>5</v>
      </c>
      <c r="G624" t="s">
        <v>47</v>
      </c>
      <c r="H624" s="4">
        <v>0.92152777777777783</v>
      </c>
      <c r="I624" s="5">
        <v>44068</v>
      </c>
    </row>
    <row r="625" spans="1:9" x14ac:dyDescent="0.3">
      <c r="A625" t="s">
        <v>1385</v>
      </c>
      <c r="B625" t="s">
        <v>100</v>
      </c>
      <c r="C625" t="s">
        <v>202</v>
      </c>
      <c r="D625" t="s">
        <v>10</v>
      </c>
      <c r="E625" t="s">
        <v>27</v>
      </c>
      <c r="F625">
        <v>3</v>
      </c>
      <c r="G625" t="s">
        <v>12</v>
      </c>
      <c r="H625" s="4">
        <v>0.95486111111111116</v>
      </c>
      <c r="I625" s="5">
        <v>43831</v>
      </c>
    </row>
    <row r="626" spans="1:9" x14ac:dyDescent="0.3">
      <c r="A626" t="s">
        <v>1386</v>
      </c>
      <c r="B626" t="s">
        <v>858</v>
      </c>
      <c r="C626" t="s">
        <v>1387</v>
      </c>
      <c r="D626" t="s">
        <v>76</v>
      </c>
      <c r="E626" t="s">
        <v>32</v>
      </c>
      <c r="F626">
        <v>3</v>
      </c>
      <c r="G626" t="s">
        <v>18</v>
      </c>
      <c r="H626" s="4">
        <v>0.7368055555555556</v>
      </c>
      <c r="I626" s="5">
        <v>44040</v>
      </c>
    </row>
    <row r="627" spans="1:9" x14ac:dyDescent="0.3">
      <c r="A627" t="s">
        <v>1388</v>
      </c>
      <c r="B627" t="s">
        <v>252</v>
      </c>
      <c r="C627" t="s">
        <v>449</v>
      </c>
      <c r="D627" t="s">
        <v>31</v>
      </c>
      <c r="E627" t="s">
        <v>27</v>
      </c>
      <c r="F627">
        <v>3</v>
      </c>
      <c r="G627" t="s">
        <v>18</v>
      </c>
      <c r="H627" s="4">
        <v>0.47222222222222227</v>
      </c>
      <c r="I627" s="5">
        <v>44131</v>
      </c>
    </row>
    <row r="628" spans="1:9" x14ac:dyDescent="0.3">
      <c r="A628" t="s">
        <v>1389</v>
      </c>
      <c r="B628" t="s">
        <v>263</v>
      </c>
      <c r="C628" t="s">
        <v>941</v>
      </c>
      <c r="D628" t="s">
        <v>22</v>
      </c>
      <c r="E628" t="s">
        <v>36</v>
      </c>
      <c r="F628">
        <v>9</v>
      </c>
      <c r="G628" t="s">
        <v>12</v>
      </c>
      <c r="H628" s="4">
        <v>0.91736111111111107</v>
      </c>
      <c r="I628" s="5">
        <v>43914</v>
      </c>
    </row>
    <row r="629" spans="1:9" x14ac:dyDescent="0.3">
      <c r="A629" t="s">
        <v>1390</v>
      </c>
      <c r="B629" t="s">
        <v>233</v>
      </c>
      <c r="C629" t="s">
        <v>1391</v>
      </c>
      <c r="D629" t="s">
        <v>16</v>
      </c>
      <c r="E629" t="s">
        <v>69</v>
      </c>
      <c r="F629">
        <v>8</v>
      </c>
      <c r="G629" t="s">
        <v>47</v>
      </c>
      <c r="H629" s="4">
        <v>0.43611111111111112</v>
      </c>
      <c r="I629" s="5">
        <v>44112</v>
      </c>
    </row>
    <row r="630" spans="1:9" x14ac:dyDescent="0.3">
      <c r="A630" t="s">
        <v>1392</v>
      </c>
      <c r="B630" t="s">
        <v>285</v>
      </c>
      <c r="C630" t="s">
        <v>1147</v>
      </c>
      <c r="D630" t="s">
        <v>76</v>
      </c>
      <c r="E630" t="s">
        <v>105</v>
      </c>
      <c r="F630">
        <v>4</v>
      </c>
      <c r="G630" t="s">
        <v>47</v>
      </c>
      <c r="H630" s="4">
        <v>0.68541666666666667</v>
      </c>
      <c r="I630" s="5">
        <v>44023</v>
      </c>
    </row>
    <row r="631" spans="1:9" x14ac:dyDescent="0.3">
      <c r="A631" t="s">
        <v>1393</v>
      </c>
      <c r="B631" t="s">
        <v>1394</v>
      </c>
      <c r="C631" t="s">
        <v>1238</v>
      </c>
      <c r="D631" t="s">
        <v>79</v>
      </c>
      <c r="E631" t="s">
        <v>40</v>
      </c>
      <c r="F631">
        <v>9</v>
      </c>
      <c r="G631" t="s">
        <v>189</v>
      </c>
      <c r="H631" s="4">
        <v>0.80833333333333324</v>
      </c>
      <c r="I631" s="5">
        <v>44184</v>
      </c>
    </row>
    <row r="632" spans="1:9" x14ac:dyDescent="0.3">
      <c r="A632" t="s">
        <v>1395</v>
      </c>
      <c r="B632" t="s">
        <v>1396</v>
      </c>
      <c r="C632" t="s">
        <v>1364</v>
      </c>
      <c r="D632" t="s">
        <v>16</v>
      </c>
      <c r="E632" t="s">
        <v>17</v>
      </c>
      <c r="F632">
        <v>5</v>
      </c>
      <c r="G632" t="s">
        <v>18</v>
      </c>
      <c r="H632" s="4">
        <v>0.92152777777777783</v>
      </c>
      <c r="I632" s="5">
        <v>43901</v>
      </c>
    </row>
    <row r="633" spans="1:9" x14ac:dyDescent="0.3">
      <c r="A633" t="s">
        <v>1397</v>
      </c>
      <c r="B633" t="s">
        <v>724</v>
      </c>
      <c r="C633" t="s">
        <v>658</v>
      </c>
      <c r="D633" t="s">
        <v>79</v>
      </c>
      <c r="E633" t="s">
        <v>23</v>
      </c>
      <c r="F633">
        <v>7</v>
      </c>
      <c r="G633" t="s">
        <v>47</v>
      </c>
      <c r="H633" s="4">
        <v>0.95486111111111116</v>
      </c>
      <c r="I633" s="5">
        <v>44169</v>
      </c>
    </row>
    <row r="634" spans="1:9" x14ac:dyDescent="0.3">
      <c r="A634" t="s">
        <v>1398</v>
      </c>
      <c r="B634" t="s">
        <v>867</v>
      </c>
      <c r="C634" t="s">
        <v>1399</v>
      </c>
      <c r="D634" t="s">
        <v>79</v>
      </c>
      <c r="E634" t="s">
        <v>17</v>
      </c>
      <c r="F634">
        <v>4</v>
      </c>
      <c r="G634" t="s">
        <v>47</v>
      </c>
      <c r="H634" s="4">
        <v>0.7368055555555556</v>
      </c>
      <c r="I634" s="5">
        <v>44046</v>
      </c>
    </row>
    <row r="635" spans="1:9" x14ac:dyDescent="0.3">
      <c r="A635" t="s">
        <v>1400</v>
      </c>
      <c r="B635" t="s">
        <v>1401</v>
      </c>
      <c r="C635" t="s">
        <v>1402</v>
      </c>
      <c r="D635" t="s">
        <v>22</v>
      </c>
      <c r="E635" t="s">
        <v>130</v>
      </c>
      <c r="F635">
        <v>8</v>
      </c>
      <c r="G635" t="s">
        <v>47</v>
      </c>
      <c r="H635" s="4">
        <v>0.47222222222222227</v>
      </c>
      <c r="I635" s="5">
        <v>43841</v>
      </c>
    </row>
    <row r="636" spans="1:9" x14ac:dyDescent="0.3">
      <c r="A636" t="s">
        <v>1403</v>
      </c>
      <c r="B636" t="s">
        <v>176</v>
      </c>
      <c r="C636" t="s">
        <v>502</v>
      </c>
      <c r="D636" t="s">
        <v>10</v>
      </c>
      <c r="E636" t="s">
        <v>91</v>
      </c>
      <c r="F636">
        <v>4</v>
      </c>
      <c r="G636" t="s">
        <v>47</v>
      </c>
      <c r="H636" s="4">
        <v>0.91736111111111107</v>
      </c>
      <c r="I636" s="5">
        <v>43912</v>
      </c>
    </row>
    <row r="637" spans="1:9" x14ac:dyDescent="0.3">
      <c r="A637" t="s">
        <v>1404</v>
      </c>
      <c r="B637" t="s">
        <v>1252</v>
      </c>
      <c r="C637" t="s">
        <v>502</v>
      </c>
      <c r="D637" t="s">
        <v>10</v>
      </c>
      <c r="E637" t="s">
        <v>105</v>
      </c>
      <c r="F637">
        <v>5</v>
      </c>
      <c r="G637" t="s">
        <v>47</v>
      </c>
      <c r="H637" s="4">
        <v>0.43611111111111112</v>
      </c>
      <c r="I637" s="5">
        <v>43866</v>
      </c>
    </row>
    <row r="638" spans="1:9" x14ac:dyDescent="0.3">
      <c r="A638" t="s">
        <v>1405</v>
      </c>
      <c r="B638" t="s">
        <v>1406</v>
      </c>
      <c r="C638" t="s">
        <v>1407</v>
      </c>
      <c r="D638" t="s">
        <v>31</v>
      </c>
      <c r="E638" t="s">
        <v>40</v>
      </c>
      <c r="F638">
        <v>9</v>
      </c>
      <c r="G638" t="s">
        <v>47</v>
      </c>
      <c r="H638" s="4">
        <v>0.68541666666666667</v>
      </c>
      <c r="I638" s="5">
        <v>43978</v>
      </c>
    </row>
    <row r="639" spans="1:9" x14ac:dyDescent="0.3">
      <c r="A639" t="s">
        <v>1408</v>
      </c>
      <c r="B639" t="s">
        <v>395</v>
      </c>
      <c r="C639" t="s">
        <v>851</v>
      </c>
      <c r="D639" t="s">
        <v>79</v>
      </c>
      <c r="E639" t="s">
        <v>32</v>
      </c>
      <c r="F639">
        <v>3</v>
      </c>
      <c r="G639" t="s">
        <v>47</v>
      </c>
      <c r="H639" s="4">
        <v>0.80833333333333324</v>
      </c>
      <c r="I639" s="5">
        <v>43895</v>
      </c>
    </row>
    <row r="640" spans="1:9" x14ac:dyDescent="0.3">
      <c r="A640" t="s">
        <v>1409</v>
      </c>
      <c r="B640" t="s">
        <v>408</v>
      </c>
      <c r="C640" t="s">
        <v>253</v>
      </c>
      <c r="D640" t="s">
        <v>79</v>
      </c>
      <c r="E640" t="s">
        <v>69</v>
      </c>
      <c r="F640">
        <v>3</v>
      </c>
      <c r="G640" t="s">
        <v>18</v>
      </c>
      <c r="H640" s="4">
        <v>0.92152777777777783</v>
      </c>
      <c r="I640" s="5">
        <v>44040</v>
      </c>
    </row>
    <row r="641" spans="1:9" x14ac:dyDescent="0.3">
      <c r="A641" t="s">
        <v>1410</v>
      </c>
      <c r="B641" t="s">
        <v>588</v>
      </c>
      <c r="C641" t="s">
        <v>1411</v>
      </c>
      <c r="D641" t="s">
        <v>10</v>
      </c>
      <c r="E641" t="s">
        <v>130</v>
      </c>
      <c r="F641">
        <v>6</v>
      </c>
      <c r="G641" t="s">
        <v>343</v>
      </c>
      <c r="H641" s="4">
        <v>0.95486111111111116</v>
      </c>
      <c r="I641" s="5">
        <v>43944</v>
      </c>
    </row>
    <row r="642" spans="1:9" x14ac:dyDescent="0.3">
      <c r="A642" t="s">
        <v>1412</v>
      </c>
      <c r="B642" t="s">
        <v>1413</v>
      </c>
      <c r="C642" t="s">
        <v>383</v>
      </c>
      <c r="D642" t="s">
        <v>76</v>
      </c>
      <c r="E642" t="s">
        <v>36</v>
      </c>
      <c r="F642">
        <v>4</v>
      </c>
      <c r="G642" t="s">
        <v>12</v>
      </c>
      <c r="H642" s="4">
        <v>0.7368055555555556</v>
      </c>
      <c r="I642" s="5">
        <v>43898</v>
      </c>
    </row>
    <row r="643" spans="1:9" x14ac:dyDescent="0.3">
      <c r="A643" t="s">
        <v>1414</v>
      </c>
      <c r="B643" t="s">
        <v>657</v>
      </c>
      <c r="C643" t="s">
        <v>1415</v>
      </c>
      <c r="D643" t="s">
        <v>31</v>
      </c>
      <c r="E643" t="s">
        <v>40</v>
      </c>
      <c r="F643">
        <v>4</v>
      </c>
      <c r="G643" t="s">
        <v>47</v>
      </c>
      <c r="H643" s="4">
        <v>0.47222222222222227</v>
      </c>
      <c r="I643" s="5">
        <v>43976</v>
      </c>
    </row>
    <row r="644" spans="1:9" x14ac:dyDescent="0.3">
      <c r="A644" t="s">
        <v>1416</v>
      </c>
      <c r="B644" t="s">
        <v>1417</v>
      </c>
      <c r="C644" t="s">
        <v>1418</v>
      </c>
      <c r="D644" t="s">
        <v>31</v>
      </c>
      <c r="E644" t="s">
        <v>36</v>
      </c>
      <c r="F644">
        <v>5</v>
      </c>
      <c r="G644" t="s">
        <v>47</v>
      </c>
      <c r="H644" s="4">
        <v>0.91736111111111107</v>
      </c>
      <c r="I644" s="5">
        <v>44167</v>
      </c>
    </row>
    <row r="645" spans="1:9" x14ac:dyDescent="0.3">
      <c r="A645" t="s">
        <v>1419</v>
      </c>
      <c r="B645" t="s">
        <v>1236</v>
      </c>
      <c r="C645" t="s">
        <v>455</v>
      </c>
      <c r="D645" t="s">
        <v>10</v>
      </c>
      <c r="E645" t="s">
        <v>23</v>
      </c>
      <c r="F645">
        <v>10</v>
      </c>
      <c r="G645" t="s">
        <v>12</v>
      </c>
      <c r="H645" s="4">
        <v>0.43611111111111112</v>
      </c>
      <c r="I645" s="5">
        <v>43977</v>
      </c>
    </row>
    <row r="646" spans="1:9" x14ac:dyDescent="0.3">
      <c r="A646" t="s">
        <v>1420</v>
      </c>
      <c r="B646" t="s">
        <v>1421</v>
      </c>
      <c r="C646" t="s">
        <v>1422</v>
      </c>
      <c r="D646" t="s">
        <v>76</v>
      </c>
      <c r="E646" t="s">
        <v>36</v>
      </c>
      <c r="F646">
        <v>9</v>
      </c>
      <c r="G646" t="s">
        <v>47</v>
      </c>
      <c r="H646" s="4">
        <v>0.68541666666666667</v>
      </c>
      <c r="I646" s="5">
        <v>43947</v>
      </c>
    </row>
    <row r="647" spans="1:9" x14ac:dyDescent="0.3">
      <c r="A647" t="s">
        <v>1423</v>
      </c>
      <c r="B647" t="s">
        <v>552</v>
      </c>
      <c r="C647" t="s">
        <v>1424</v>
      </c>
      <c r="D647" t="s">
        <v>76</v>
      </c>
      <c r="E647" t="s">
        <v>80</v>
      </c>
      <c r="F647">
        <v>8</v>
      </c>
      <c r="G647" t="s">
        <v>47</v>
      </c>
      <c r="H647" s="4">
        <v>0.80833333333333324</v>
      </c>
      <c r="I647" s="5">
        <v>43850</v>
      </c>
    </row>
    <row r="648" spans="1:9" x14ac:dyDescent="0.3">
      <c r="A648" t="s">
        <v>1425</v>
      </c>
      <c r="B648" t="s">
        <v>333</v>
      </c>
      <c r="C648" t="s">
        <v>595</v>
      </c>
      <c r="D648" t="s">
        <v>16</v>
      </c>
      <c r="E648" t="s">
        <v>64</v>
      </c>
      <c r="F648">
        <v>9</v>
      </c>
      <c r="G648" t="s">
        <v>47</v>
      </c>
      <c r="H648" s="4">
        <v>0.92152777777777783</v>
      </c>
      <c r="I648" s="5">
        <v>44080</v>
      </c>
    </row>
    <row r="649" spans="1:9" x14ac:dyDescent="0.3">
      <c r="A649" t="s">
        <v>1426</v>
      </c>
      <c r="B649" t="s">
        <v>731</v>
      </c>
      <c r="C649" t="s">
        <v>1387</v>
      </c>
      <c r="D649" t="s">
        <v>76</v>
      </c>
      <c r="E649" t="s">
        <v>105</v>
      </c>
      <c r="F649">
        <v>8</v>
      </c>
      <c r="G649" t="s">
        <v>18</v>
      </c>
      <c r="H649" s="4">
        <v>0.95486111111111116</v>
      </c>
      <c r="I649" s="5">
        <v>43863</v>
      </c>
    </row>
    <row r="650" spans="1:9" x14ac:dyDescent="0.3">
      <c r="A650" t="s">
        <v>1427</v>
      </c>
      <c r="B650" t="s">
        <v>110</v>
      </c>
      <c r="C650" t="s">
        <v>120</v>
      </c>
      <c r="D650" t="s">
        <v>16</v>
      </c>
      <c r="E650" t="s">
        <v>130</v>
      </c>
      <c r="F650">
        <v>9</v>
      </c>
      <c r="G650" t="s">
        <v>12</v>
      </c>
      <c r="H650" s="4">
        <v>0.7368055555555556</v>
      </c>
      <c r="I650" s="5">
        <v>44025</v>
      </c>
    </row>
    <row r="651" spans="1:9" x14ac:dyDescent="0.3">
      <c r="A651" t="s">
        <v>1428</v>
      </c>
      <c r="B651" t="s">
        <v>1429</v>
      </c>
      <c r="C651" t="s">
        <v>205</v>
      </c>
      <c r="D651" t="s">
        <v>16</v>
      </c>
      <c r="E651" t="s">
        <v>64</v>
      </c>
      <c r="F651">
        <v>8</v>
      </c>
      <c r="G651" t="s">
        <v>47</v>
      </c>
      <c r="H651" s="4">
        <v>0.47222222222222227</v>
      </c>
      <c r="I651" s="5">
        <v>43873</v>
      </c>
    </row>
    <row r="652" spans="1:9" x14ac:dyDescent="0.3">
      <c r="A652" t="s">
        <v>1430</v>
      </c>
      <c r="B652" t="s">
        <v>306</v>
      </c>
      <c r="C652" t="s">
        <v>393</v>
      </c>
      <c r="D652" t="s">
        <v>31</v>
      </c>
      <c r="E652" t="s">
        <v>36</v>
      </c>
      <c r="F652">
        <v>9</v>
      </c>
      <c r="G652" t="s">
        <v>47</v>
      </c>
      <c r="H652" s="4">
        <v>0.91736111111111107</v>
      </c>
      <c r="I652" s="5">
        <v>44003</v>
      </c>
    </row>
    <row r="653" spans="1:9" x14ac:dyDescent="0.3">
      <c r="A653" t="s">
        <v>1431</v>
      </c>
      <c r="B653" t="s">
        <v>359</v>
      </c>
      <c r="C653" t="s">
        <v>1432</v>
      </c>
      <c r="D653" t="s">
        <v>63</v>
      </c>
      <c r="E653" t="s">
        <v>130</v>
      </c>
      <c r="F653">
        <v>9</v>
      </c>
      <c r="G653" t="s">
        <v>18</v>
      </c>
      <c r="H653" s="4">
        <v>0.43611111111111112</v>
      </c>
      <c r="I653" s="5">
        <v>44143</v>
      </c>
    </row>
    <row r="654" spans="1:9" x14ac:dyDescent="0.3">
      <c r="A654" t="s">
        <v>1433</v>
      </c>
      <c r="B654" t="s">
        <v>1434</v>
      </c>
      <c r="C654" t="s">
        <v>388</v>
      </c>
      <c r="D654" t="s">
        <v>16</v>
      </c>
      <c r="E654" t="s">
        <v>84</v>
      </c>
      <c r="F654">
        <v>5</v>
      </c>
      <c r="G654" t="s">
        <v>18</v>
      </c>
      <c r="H654" s="4">
        <v>0.68541666666666667</v>
      </c>
      <c r="I654" s="5">
        <v>43909</v>
      </c>
    </row>
    <row r="655" spans="1:9" x14ac:dyDescent="0.3">
      <c r="A655" t="s">
        <v>1435</v>
      </c>
      <c r="B655" t="s">
        <v>613</v>
      </c>
      <c r="C655" t="s">
        <v>253</v>
      </c>
      <c r="D655" t="s">
        <v>10</v>
      </c>
      <c r="E655" t="s">
        <v>80</v>
      </c>
      <c r="F655">
        <v>7</v>
      </c>
      <c r="G655" t="s">
        <v>18</v>
      </c>
      <c r="H655" s="4">
        <v>0.80833333333333324</v>
      </c>
      <c r="I655" s="5">
        <v>43941</v>
      </c>
    </row>
    <row r="656" spans="1:9" x14ac:dyDescent="0.3">
      <c r="A656" t="s">
        <v>1436</v>
      </c>
      <c r="B656" t="s">
        <v>426</v>
      </c>
      <c r="C656" t="s">
        <v>1437</v>
      </c>
      <c r="D656" t="s">
        <v>31</v>
      </c>
      <c r="E656" t="s">
        <v>69</v>
      </c>
      <c r="F656">
        <v>3</v>
      </c>
      <c r="G656" t="s">
        <v>47</v>
      </c>
      <c r="H656" s="4">
        <v>0.92152777777777783</v>
      </c>
      <c r="I656" s="5">
        <v>43945</v>
      </c>
    </row>
    <row r="657" spans="1:9" x14ac:dyDescent="0.3">
      <c r="A657" t="s">
        <v>1438</v>
      </c>
      <c r="B657" t="s">
        <v>53</v>
      </c>
      <c r="C657" t="s">
        <v>826</v>
      </c>
      <c r="D657" t="s">
        <v>51</v>
      </c>
      <c r="E657" t="s">
        <v>40</v>
      </c>
      <c r="F657">
        <v>10</v>
      </c>
      <c r="G657" t="s">
        <v>12</v>
      </c>
      <c r="H657" s="4">
        <v>0.95486111111111116</v>
      </c>
      <c r="I657" s="5">
        <v>44057</v>
      </c>
    </row>
    <row r="658" spans="1:9" x14ac:dyDescent="0.3">
      <c r="A658" t="s">
        <v>1439</v>
      </c>
      <c r="B658" t="s">
        <v>1361</v>
      </c>
      <c r="C658" t="s">
        <v>1440</v>
      </c>
      <c r="D658" t="s">
        <v>31</v>
      </c>
      <c r="E658" t="s">
        <v>17</v>
      </c>
      <c r="F658">
        <v>7</v>
      </c>
      <c r="G658" t="s">
        <v>47</v>
      </c>
      <c r="H658" s="4">
        <v>0.7368055555555556</v>
      </c>
      <c r="I658" s="5">
        <v>44079</v>
      </c>
    </row>
    <row r="659" spans="1:9" x14ac:dyDescent="0.3">
      <c r="A659" t="s">
        <v>1441</v>
      </c>
      <c r="B659" t="s">
        <v>1442</v>
      </c>
      <c r="C659" t="s">
        <v>1443</v>
      </c>
      <c r="D659" t="s">
        <v>31</v>
      </c>
      <c r="E659" t="s">
        <v>17</v>
      </c>
      <c r="F659">
        <v>8</v>
      </c>
      <c r="G659" t="s">
        <v>18</v>
      </c>
      <c r="H659" s="4">
        <v>0.47222222222222227</v>
      </c>
      <c r="I659" s="5">
        <v>43967</v>
      </c>
    </row>
    <row r="660" spans="1:9" x14ac:dyDescent="0.3">
      <c r="A660" t="s">
        <v>1444</v>
      </c>
      <c r="B660" t="s">
        <v>303</v>
      </c>
      <c r="C660" t="s">
        <v>452</v>
      </c>
      <c r="D660" t="s">
        <v>76</v>
      </c>
      <c r="E660" t="s">
        <v>69</v>
      </c>
      <c r="F660">
        <v>9</v>
      </c>
      <c r="G660" t="s">
        <v>47</v>
      </c>
      <c r="H660" s="4">
        <v>0.91736111111111107</v>
      </c>
      <c r="I660" s="5">
        <v>43886</v>
      </c>
    </row>
    <row r="661" spans="1:9" x14ac:dyDescent="0.3">
      <c r="A661" t="s">
        <v>1445</v>
      </c>
      <c r="B661" t="s">
        <v>552</v>
      </c>
      <c r="C661" t="s">
        <v>853</v>
      </c>
      <c r="D661" t="s">
        <v>51</v>
      </c>
      <c r="E661" t="s">
        <v>80</v>
      </c>
      <c r="F661">
        <v>4</v>
      </c>
      <c r="G661" t="s">
        <v>47</v>
      </c>
      <c r="H661" s="4">
        <v>0.43611111111111112</v>
      </c>
      <c r="I661" s="5">
        <v>43855</v>
      </c>
    </row>
    <row r="662" spans="1:9" x14ac:dyDescent="0.3">
      <c r="A662" t="s">
        <v>1446</v>
      </c>
      <c r="B662" t="s">
        <v>1447</v>
      </c>
      <c r="C662" t="s">
        <v>1448</v>
      </c>
      <c r="D662" t="s">
        <v>16</v>
      </c>
      <c r="E662" t="s">
        <v>105</v>
      </c>
      <c r="F662">
        <v>8</v>
      </c>
      <c r="G662" t="s">
        <v>47</v>
      </c>
      <c r="H662" s="4">
        <v>0.68541666666666667</v>
      </c>
      <c r="I662" s="5">
        <v>44121</v>
      </c>
    </row>
    <row r="663" spans="1:9" x14ac:dyDescent="0.3">
      <c r="A663" t="s">
        <v>1449</v>
      </c>
      <c r="B663" t="s">
        <v>802</v>
      </c>
      <c r="C663" t="s">
        <v>524</v>
      </c>
      <c r="D663" t="s">
        <v>16</v>
      </c>
      <c r="E663" t="s">
        <v>69</v>
      </c>
      <c r="F663">
        <v>5</v>
      </c>
      <c r="G663" t="s">
        <v>47</v>
      </c>
      <c r="H663" s="4">
        <v>0.80833333333333324</v>
      </c>
      <c r="I663" s="5">
        <v>44093</v>
      </c>
    </row>
    <row r="664" spans="1:9" x14ac:dyDescent="0.3">
      <c r="A664" t="s">
        <v>1450</v>
      </c>
      <c r="B664" t="s">
        <v>1451</v>
      </c>
      <c r="C664" t="s">
        <v>1330</v>
      </c>
      <c r="D664" t="s">
        <v>22</v>
      </c>
      <c r="E664" t="s">
        <v>84</v>
      </c>
      <c r="F664">
        <v>3</v>
      </c>
      <c r="G664" t="s">
        <v>18</v>
      </c>
      <c r="H664" s="4">
        <v>0.92152777777777783</v>
      </c>
      <c r="I664" s="5">
        <v>43915</v>
      </c>
    </row>
    <row r="665" spans="1:9" x14ac:dyDescent="0.3">
      <c r="A665" t="s">
        <v>1452</v>
      </c>
      <c r="B665" t="s">
        <v>228</v>
      </c>
      <c r="C665" t="s">
        <v>1453</v>
      </c>
      <c r="D665" t="s">
        <v>51</v>
      </c>
      <c r="E665" t="s">
        <v>40</v>
      </c>
      <c r="F665">
        <v>6</v>
      </c>
      <c r="G665" t="s">
        <v>47</v>
      </c>
      <c r="H665" s="4">
        <v>0.95486111111111116</v>
      </c>
      <c r="I665" s="5">
        <v>44035</v>
      </c>
    </row>
    <row r="666" spans="1:9" x14ac:dyDescent="0.3">
      <c r="A666" t="s">
        <v>1454</v>
      </c>
      <c r="B666" t="s">
        <v>1072</v>
      </c>
      <c r="C666" t="s">
        <v>864</v>
      </c>
      <c r="D666" t="s">
        <v>31</v>
      </c>
      <c r="E666" t="s">
        <v>64</v>
      </c>
      <c r="F666">
        <v>8</v>
      </c>
      <c r="G666" t="s">
        <v>47</v>
      </c>
      <c r="H666" s="4">
        <v>0.7368055555555556</v>
      </c>
      <c r="I666" s="5">
        <v>43997</v>
      </c>
    </row>
    <row r="667" spans="1:9" x14ac:dyDescent="0.3">
      <c r="A667" t="s">
        <v>1455</v>
      </c>
      <c r="B667" t="s">
        <v>528</v>
      </c>
      <c r="C667" t="s">
        <v>1456</v>
      </c>
      <c r="D667" t="s">
        <v>63</v>
      </c>
      <c r="E667" t="s">
        <v>84</v>
      </c>
      <c r="F667">
        <v>10</v>
      </c>
      <c r="G667" t="s">
        <v>47</v>
      </c>
      <c r="H667" s="4">
        <v>0.47222222222222227</v>
      </c>
      <c r="I667" s="5">
        <v>44071</v>
      </c>
    </row>
    <row r="668" spans="1:9" x14ac:dyDescent="0.3">
      <c r="A668" t="s">
        <v>1457</v>
      </c>
      <c r="B668" t="s">
        <v>1458</v>
      </c>
      <c r="C668" t="s">
        <v>50</v>
      </c>
      <c r="D668" t="s">
        <v>10</v>
      </c>
      <c r="E668" t="s">
        <v>40</v>
      </c>
      <c r="F668">
        <v>10</v>
      </c>
      <c r="G668" t="s">
        <v>18</v>
      </c>
      <c r="H668" s="4">
        <v>0.91736111111111107</v>
      </c>
      <c r="I668" s="5">
        <v>44036</v>
      </c>
    </row>
    <row r="669" spans="1:9" x14ac:dyDescent="0.3">
      <c r="A669" t="s">
        <v>1459</v>
      </c>
      <c r="B669" t="s">
        <v>1139</v>
      </c>
      <c r="C669" t="s">
        <v>1460</v>
      </c>
      <c r="D669" t="s">
        <v>10</v>
      </c>
      <c r="E669" t="s">
        <v>64</v>
      </c>
      <c r="F669">
        <v>3</v>
      </c>
      <c r="G669" t="s">
        <v>47</v>
      </c>
      <c r="H669" s="4">
        <v>0.43611111111111112</v>
      </c>
      <c r="I669" s="5">
        <v>44192</v>
      </c>
    </row>
    <row r="670" spans="1:9" x14ac:dyDescent="0.3">
      <c r="A670" t="s">
        <v>1461</v>
      </c>
      <c r="B670" t="s">
        <v>436</v>
      </c>
      <c r="C670" t="s">
        <v>1462</v>
      </c>
      <c r="D670" t="s">
        <v>51</v>
      </c>
      <c r="E670" t="s">
        <v>69</v>
      </c>
      <c r="F670">
        <v>5</v>
      </c>
      <c r="G670" t="s">
        <v>12</v>
      </c>
      <c r="H670" s="4">
        <v>0.68541666666666667</v>
      </c>
      <c r="I670" s="5">
        <v>44175</v>
      </c>
    </row>
    <row r="671" spans="1:9" x14ac:dyDescent="0.3">
      <c r="A671" t="s">
        <v>1463</v>
      </c>
      <c r="B671" t="s">
        <v>174</v>
      </c>
      <c r="C671" t="s">
        <v>157</v>
      </c>
      <c r="D671" t="s">
        <v>63</v>
      </c>
      <c r="E671" t="s">
        <v>84</v>
      </c>
      <c r="F671">
        <v>5</v>
      </c>
      <c r="G671" t="s">
        <v>47</v>
      </c>
      <c r="H671" s="4">
        <v>0.80833333333333324</v>
      </c>
      <c r="I671" s="5">
        <v>43865</v>
      </c>
    </row>
    <row r="672" spans="1:9" x14ac:dyDescent="0.3">
      <c r="A672" t="s">
        <v>1464</v>
      </c>
      <c r="B672" t="s">
        <v>858</v>
      </c>
      <c r="C672" t="s">
        <v>1465</v>
      </c>
      <c r="D672" t="s">
        <v>22</v>
      </c>
      <c r="E672" t="s">
        <v>69</v>
      </c>
      <c r="F672">
        <v>5</v>
      </c>
      <c r="G672" t="s">
        <v>47</v>
      </c>
      <c r="H672" s="4">
        <v>0.92152777777777783</v>
      </c>
      <c r="I672" s="5">
        <v>44181</v>
      </c>
    </row>
    <row r="673" spans="1:9" x14ac:dyDescent="0.3">
      <c r="A673" t="s">
        <v>1466</v>
      </c>
      <c r="B673" t="s">
        <v>138</v>
      </c>
      <c r="C673" t="s">
        <v>1467</v>
      </c>
      <c r="D673" t="s">
        <v>22</v>
      </c>
      <c r="E673" t="s">
        <v>91</v>
      </c>
      <c r="F673">
        <v>3</v>
      </c>
      <c r="G673" t="s">
        <v>47</v>
      </c>
      <c r="H673" s="4">
        <v>0.95486111111111116</v>
      </c>
      <c r="I673" s="5">
        <v>43978</v>
      </c>
    </row>
    <row r="674" spans="1:9" x14ac:dyDescent="0.3">
      <c r="A674" t="s">
        <v>1468</v>
      </c>
      <c r="B674" t="s">
        <v>306</v>
      </c>
      <c r="C674" t="s">
        <v>904</v>
      </c>
      <c r="D674" t="s">
        <v>79</v>
      </c>
      <c r="E674" t="s">
        <v>17</v>
      </c>
      <c r="F674">
        <v>6</v>
      </c>
      <c r="G674" t="s">
        <v>47</v>
      </c>
      <c r="H674" s="4">
        <v>0.7368055555555556</v>
      </c>
      <c r="I674" s="5">
        <v>44098</v>
      </c>
    </row>
    <row r="675" spans="1:9" x14ac:dyDescent="0.3">
      <c r="A675" t="s">
        <v>1469</v>
      </c>
      <c r="B675" t="s">
        <v>147</v>
      </c>
      <c r="C675" t="s">
        <v>1470</v>
      </c>
      <c r="D675" t="s">
        <v>16</v>
      </c>
      <c r="E675" t="s">
        <v>91</v>
      </c>
      <c r="F675">
        <v>5</v>
      </c>
      <c r="G675" t="s">
        <v>12</v>
      </c>
      <c r="H675" s="4">
        <v>0.47222222222222227</v>
      </c>
      <c r="I675" s="5">
        <v>44151</v>
      </c>
    </row>
    <row r="676" spans="1:9" x14ac:dyDescent="0.3">
      <c r="A676" t="s">
        <v>1471</v>
      </c>
      <c r="B676" t="s">
        <v>1472</v>
      </c>
      <c r="C676" t="s">
        <v>474</v>
      </c>
      <c r="D676" t="s">
        <v>16</v>
      </c>
      <c r="E676" t="s">
        <v>105</v>
      </c>
      <c r="F676">
        <v>6</v>
      </c>
      <c r="G676" t="s">
        <v>47</v>
      </c>
      <c r="H676" s="4">
        <v>0.91736111111111107</v>
      </c>
      <c r="I676" s="5">
        <v>44125</v>
      </c>
    </row>
    <row r="677" spans="1:9" x14ac:dyDescent="0.3">
      <c r="A677" t="s">
        <v>1473</v>
      </c>
      <c r="B677" t="s">
        <v>8</v>
      </c>
      <c r="C677" t="s">
        <v>1250</v>
      </c>
      <c r="D677" t="s">
        <v>79</v>
      </c>
      <c r="E677" t="s">
        <v>69</v>
      </c>
      <c r="F677">
        <v>4</v>
      </c>
      <c r="G677" t="s">
        <v>12</v>
      </c>
      <c r="H677" s="4">
        <v>0.43611111111111112</v>
      </c>
      <c r="I677" s="5">
        <v>43977</v>
      </c>
    </row>
    <row r="678" spans="1:9" x14ac:dyDescent="0.3">
      <c r="A678" t="s">
        <v>1474</v>
      </c>
      <c r="B678" t="s">
        <v>1475</v>
      </c>
      <c r="C678" t="s">
        <v>1476</v>
      </c>
      <c r="D678" t="s">
        <v>31</v>
      </c>
      <c r="E678" t="s">
        <v>91</v>
      </c>
      <c r="F678">
        <v>3</v>
      </c>
      <c r="G678" t="s">
        <v>47</v>
      </c>
      <c r="H678" s="4">
        <v>0.68541666666666667</v>
      </c>
      <c r="I678" s="5">
        <v>44049</v>
      </c>
    </row>
    <row r="679" spans="1:9" x14ac:dyDescent="0.3">
      <c r="A679" t="s">
        <v>1477</v>
      </c>
      <c r="B679" t="s">
        <v>128</v>
      </c>
      <c r="C679" t="s">
        <v>904</v>
      </c>
      <c r="D679" t="s">
        <v>63</v>
      </c>
      <c r="E679" t="s">
        <v>80</v>
      </c>
      <c r="F679">
        <v>9</v>
      </c>
      <c r="G679" t="s">
        <v>47</v>
      </c>
      <c r="H679" s="4">
        <v>0.80833333333333324</v>
      </c>
      <c r="I679" s="5">
        <v>44019</v>
      </c>
    </row>
    <row r="680" spans="1:9" x14ac:dyDescent="0.3">
      <c r="A680" t="s">
        <v>1478</v>
      </c>
      <c r="B680" t="s">
        <v>1479</v>
      </c>
      <c r="C680" t="s">
        <v>1480</v>
      </c>
      <c r="D680" t="s">
        <v>51</v>
      </c>
      <c r="E680" t="s">
        <v>64</v>
      </c>
      <c r="F680">
        <v>7</v>
      </c>
      <c r="G680" t="s">
        <v>18</v>
      </c>
      <c r="H680" s="4">
        <v>0.92152777777777783</v>
      </c>
      <c r="I680" s="5">
        <v>43891</v>
      </c>
    </row>
    <row r="681" spans="1:9" x14ac:dyDescent="0.3">
      <c r="A681" t="s">
        <v>1481</v>
      </c>
      <c r="B681" t="s">
        <v>616</v>
      </c>
      <c r="C681" t="s">
        <v>1482</v>
      </c>
      <c r="D681" t="s">
        <v>10</v>
      </c>
      <c r="E681" t="s">
        <v>69</v>
      </c>
      <c r="F681">
        <v>6</v>
      </c>
      <c r="G681" t="s">
        <v>343</v>
      </c>
      <c r="H681" s="4">
        <v>0.95486111111111116</v>
      </c>
      <c r="I681" s="5">
        <v>43894</v>
      </c>
    </row>
    <row r="682" spans="1:9" x14ac:dyDescent="0.3">
      <c r="A682" t="s">
        <v>1483</v>
      </c>
      <c r="B682" t="s">
        <v>1484</v>
      </c>
      <c r="C682" t="s">
        <v>1485</v>
      </c>
      <c r="D682" t="s">
        <v>79</v>
      </c>
      <c r="E682" t="s">
        <v>64</v>
      </c>
      <c r="F682">
        <v>3</v>
      </c>
      <c r="G682" t="s">
        <v>12</v>
      </c>
      <c r="H682" s="4">
        <v>0.7368055555555556</v>
      </c>
      <c r="I682" s="5">
        <v>43833</v>
      </c>
    </row>
    <row r="683" spans="1:9" x14ac:dyDescent="0.3">
      <c r="A683" t="s">
        <v>1486</v>
      </c>
      <c r="B683" t="s">
        <v>266</v>
      </c>
      <c r="C683" t="s">
        <v>939</v>
      </c>
      <c r="D683" t="s">
        <v>51</v>
      </c>
      <c r="E683" t="s">
        <v>23</v>
      </c>
      <c r="F683">
        <v>6</v>
      </c>
      <c r="G683" t="s">
        <v>47</v>
      </c>
      <c r="H683" s="4">
        <v>0.47222222222222227</v>
      </c>
      <c r="I683" s="5">
        <v>43968</v>
      </c>
    </row>
    <row r="684" spans="1:9" x14ac:dyDescent="0.3">
      <c r="A684" t="s">
        <v>1487</v>
      </c>
      <c r="B684" t="s">
        <v>858</v>
      </c>
      <c r="C684" t="s">
        <v>1488</v>
      </c>
      <c r="D684" t="s">
        <v>68</v>
      </c>
      <c r="E684" t="s">
        <v>11</v>
      </c>
      <c r="F684">
        <v>8</v>
      </c>
      <c r="G684" t="s">
        <v>12</v>
      </c>
      <c r="H684" s="4">
        <v>0.91736111111111107</v>
      </c>
      <c r="I684" s="5">
        <v>44039</v>
      </c>
    </row>
    <row r="685" spans="1:9" x14ac:dyDescent="0.3">
      <c r="A685" t="s">
        <v>1489</v>
      </c>
      <c r="B685" t="s">
        <v>1490</v>
      </c>
      <c r="C685" t="s">
        <v>319</v>
      </c>
      <c r="D685" t="s">
        <v>31</v>
      </c>
      <c r="E685" t="s">
        <v>91</v>
      </c>
      <c r="F685">
        <v>3</v>
      </c>
      <c r="G685" t="s">
        <v>18</v>
      </c>
      <c r="H685" s="4">
        <v>0.43611111111111112</v>
      </c>
      <c r="I685" s="5">
        <v>43948</v>
      </c>
    </row>
    <row r="686" spans="1:9" x14ac:dyDescent="0.3">
      <c r="A686" t="s">
        <v>1491</v>
      </c>
      <c r="B686" t="s">
        <v>1492</v>
      </c>
      <c r="C686" t="s">
        <v>1119</v>
      </c>
      <c r="D686" t="s">
        <v>51</v>
      </c>
      <c r="E686" t="s">
        <v>11</v>
      </c>
      <c r="F686">
        <v>8</v>
      </c>
      <c r="G686" t="s">
        <v>47</v>
      </c>
      <c r="H686" s="4">
        <v>0.68541666666666667</v>
      </c>
      <c r="I686" s="5">
        <v>44192</v>
      </c>
    </row>
    <row r="687" spans="1:9" x14ac:dyDescent="0.3">
      <c r="A687" t="s">
        <v>1493</v>
      </c>
      <c r="B687" t="s">
        <v>359</v>
      </c>
      <c r="C687" t="s">
        <v>148</v>
      </c>
      <c r="D687" t="s">
        <v>51</v>
      </c>
      <c r="E687" t="s">
        <v>27</v>
      </c>
      <c r="F687">
        <v>5</v>
      </c>
      <c r="G687" t="s">
        <v>47</v>
      </c>
      <c r="H687" s="4">
        <v>0.80833333333333324</v>
      </c>
      <c r="I687" s="5">
        <v>43940</v>
      </c>
    </row>
    <row r="688" spans="1:9" x14ac:dyDescent="0.3">
      <c r="A688" t="s">
        <v>1494</v>
      </c>
      <c r="B688" t="s">
        <v>367</v>
      </c>
      <c r="C688" t="s">
        <v>1495</v>
      </c>
      <c r="D688" t="s">
        <v>76</v>
      </c>
      <c r="E688" t="s">
        <v>130</v>
      </c>
      <c r="F688">
        <v>4</v>
      </c>
      <c r="G688" t="s">
        <v>12</v>
      </c>
      <c r="H688" s="4">
        <v>0.92152777777777783</v>
      </c>
      <c r="I688" s="5">
        <v>43994</v>
      </c>
    </row>
    <row r="689" spans="1:9" x14ac:dyDescent="0.3">
      <c r="A689" t="s">
        <v>1496</v>
      </c>
      <c r="B689" t="s">
        <v>271</v>
      </c>
      <c r="C689" t="s">
        <v>1497</v>
      </c>
      <c r="D689" t="s">
        <v>63</v>
      </c>
      <c r="E689" t="s">
        <v>80</v>
      </c>
      <c r="F689">
        <v>9</v>
      </c>
      <c r="G689" t="s">
        <v>47</v>
      </c>
      <c r="H689" s="4">
        <v>0.95486111111111116</v>
      </c>
      <c r="I689" s="5">
        <v>43837</v>
      </c>
    </row>
    <row r="690" spans="1:9" x14ac:dyDescent="0.3">
      <c r="A690" t="s">
        <v>1498</v>
      </c>
      <c r="B690" t="s">
        <v>436</v>
      </c>
      <c r="C690" t="s">
        <v>506</v>
      </c>
      <c r="D690" t="s">
        <v>68</v>
      </c>
      <c r="E690" t="s">
        <v>23</v>
      </c>
      <c r="F690">
        <v>5</v>
      </c>
      <c r="G690" t="s">
        <v>18</v>
      </c>
      <c r="H690" s="4">
        <v>0.7368055555555556</v>
      </c>
      <c r="I690" s="5">
        <v>43845</v>
      </c>
    </row>
    <row r="691" spans="1:9" x14ac:dyDescent="0.3">
      <c r="A691" t="s">
        <v>1499</v>
      </c>
      <c r="B691" t="s">
        <v>359</v>
      </c>
      <c r="C691" t="s">
        <v>1500</v>
      </c>
      <c r="D691" t="s">
        <v>51</v>
      </c>
      <c r="E691" t="s">
        <v>27</v>
      </c>
      <c r="F691">
        <v>9</v>
      </c>
      <c r="G691" t="s">
        <v>47</v>
      </c>
      <c r="H691" s="4">
        <v>0.47222222222222227</v>
      </c>
      <c r="I691" s="5">
        <v>44049</v>
      </c>
    </row>
    <row r="692" spans="1:9" x14ac:dyDescent="0.3">
      <c r="A692" t="s">
        <v>1501</v>
      </c>
      <c r="B692" t="s">
        <v>451</v>
      </c>
      <c r="C692" t="s">
        <v>1502</v>
      </c>
      <c r="D692" t="s">
        <v>10</v>
      </c>
      <c r="E692" t="s">
        <v>40</v>
      </c>
      <c r="F692">
        <v>9</v>
      </c>
      <c r="G692" t="s">
        <v>47</v>
      </c>
      <c r="H692" s="4">
        <v>0.91736111111111107</v>
      </c>
      <c r="I692" s="5">
        <v>43889</v>
      </c>
    </row>
    <row r="693" spans="1:9" x14ac:dyDescent="0.3">
      <c r="A693" t="s">
        <v>1503</v>
      </c>
      <c r="B693" t="s">
        <v>1504</v>
      </c>
      <c r="C693" t="s">
        <v>1505</v>
      </c>
      <c r="D693" t="s">
        <v>76</v>
      </c>
      <c r="E693" t="s">
        <v>36</v>
      </c>
      <c r="F693">
        <v>6</v>
      </c>
      <c r="G693" t="s">
        <v>47</v>
      </c>
      <c r="H693" s="4">
        <v>0.43611111111111112</v>
      </c>
      <c r="I693" s="5">
        <v>44024</v>
      </c>
    </row>
    <row r="694" spans="1:9" x14ac:dyDescent="0.3">
      <c r="A694" t="s">
        <v>1506</v>
      </c>
      <c r="B694" t="s">
        <v>38</v>
      </c>
      <c r="C694" t="s">
        <v>1319</v>
      </c>
      <c r="D694" t="s">
        <v>31</v>
      </c>
      <c r="E694" t="s">
        <v>91</v>
      </c>
      <c r="F694">
        <v>10</v>
      </c>
      <c r="G694" t="s">
        <v>18</v>
      </c>
      <c r="H694" s="4">
        <v>0.68541666666666667</v>
      </c>
      <c r="I694" s="5">
        <v>43895</v>
      </c>
    </row>
    <row r="695" spans="1:9" x14ac:dyDescent="0.3">
      <c r="A695" t="s">
        <v>1507</v>
      </c>
      <c r="B695" t="s">
        <v>810</v>
      </c>
      <c r="C695" t="s">
        <v>1090</v>
      </c>
      <c r="D695" t="s">
        <v>51</v>
      </c>
      <c r="E695" t="s">
        <v>130</v>
      </c>
      <c r="F695">
        <v>8</v>
      </c>
      <c r="G695" t="s">
        <v>18</v>
      </c>
      <c r="H695" s="4">
        <v>0.80833333333333324</v>
      </c>
      <c r="I695" s="5">
        <v>44167</v>
      </c>
    </row>
    <row r="696" spans="1:9" x14ac:dyDescent="0.3">
      <c r="A696" t="s">
        <v>1508</v>
      </c>
      <c r="B696" t="s">
        <v>1509</v>
      </c>
      <c r="C696" t="s">
        <v>96</v>
      </c>
      <c r="D696" t="s">
        <v>68</v>
      </c>
      <c r="E696" t="s">
        <v>32</v>
      </c>
      <c r="F696">
        <v>7</v>
      </c>
      <c r="G696" t="s">
        <v>47</v>
      </c>
      <c r="H696" s="4">
        <v>0.92152777777777783</v>
      </c>
      <c r="I696" s="5">
        <v>43983</v>
      </c>
    </row>
    <row r="697" spans="1:9" x14ac:dyDescent="0.3">
      <c r="A697" t="s">
        <v>1510</v>
      </c>
      <c r="B697" t="s">
        <v>263</v>
      </c>
      <c r="C697" t="s">
        <v>1511</v>
      </c>
      <c r="D697" t="s">
        <v>63</v>
      </c>
      <c r="E697" t="s">
        <v>32</v>
      </c>
      <c r="F697">
        <v>8</v>
      </c>
      <c r="G697" t="s">
        <v>47</v>
      </c>
      <c r="H697" s="4">
        <v>0.95486111111111116</v>
      </c>
      <c r="I697" s="5">
        <v>43901</v>
      </c>
    </row>
    <row r="698" spans="1:9" x14ac:dyDescent="0.3">
      <c r="A698" t="s">
        <v>1512</v>
      </c>
      <c r="B698" t="s">
        <v>359</v>
      </c>
      <c r="C698" t="s">
        <v>780</v>
      </c>
      <c r="D698" t="s">
        <v>79</v>
      </c>
      <c r="E698" t="s">
        <v>32</v>
      </c>
      <c r="F698">
        <v>5</v>
      </c>
      <c r="G698" t="s">
        <v>47</v>
      </c>
      <c r="H698" s="4">
        <v>0.7368055555555556</v>
      </c>
      <c r="I698" s="5">
        <v>44177</v>
      </c>
    </row>
    <row r="699" spans="1:9" x14ac:dyDescent="0.3">
      <c r="A699" t="s">
        <v>1513</v>
      </c>
      <c r="B699" t="s">
        <v>147</v>
      </c>
      <c r="C699" t="s">
        <v>1514</v>
      </c>
      <c r="D699" t="s">
        <v>22</v>
      </c>
      <c r="E699" t="s">
        <v>32</v>
      </c>
      <c r="F699">
        <v>6</v>
      </c>
      <c r="G699" t="s">
        <v>12</v>
      </c>
      <c r="H699" s="4">
        <v>0.47222222222222227</v>
      </c>
      <c r="I699" s="5">
        <v>43945</v>
      </c>
    </row>
    <row r="700" spans="1:9" x14ac:dyDescent="0.3">
      <c r="A700" t="s">
        <v>1515</v>
      </c>
      <c r="B700" t="s">
        <v>1516</v>
      </c>
      <c r="C700" t="s">
        <v>1517</v>
      </c>
      <c r="D700" t="s">
        <v>10</v>
      </c>
      <c r="E700" t="s">
        <v>17</v>
      </c>
      <c r="F700">
        <v>3</v>
      </c>
      <c r="G700" t="s">
        <v>18</v>
      </c>
      <c r="H700" s="4">
        <v>0.91736111111111107</v>
      </c>
      <c r="I700" s="5">
        <v>44109</v>
      </c>
    </row>
    <row r="701" spans="1:9" x14ac:dyDescent="0.3">
      <c r="A701" t="s">
        <v>1518</v>
      </c>
      <c r="B701" t="s">
        <v>616</v>
      </c>
      <c r="C701" t="s">
        <v>1519</v>
      </c>
      <c r="D701" t="s">
        <v>76</v>
      </c>
      <c r="E701" t="s">
        <v>130</v>
      </c>
      <c r="F701">
        <v>3</v>
      </c>
      <c r="G701" t="s">
        <v>18</v>
      </c>
      <c r="H701" s="4">
        <v>0.43611111111111112</v>
      </c>
      <c r="I701" s="5">
        <v>44100</v>
      </c>
    </row>
    <row r="702" spans="1:9" x14ac:dyDescent="0.3">
      <c r="A702" t="s">
        <v>1520</v>
      </c>
      <c r="B702" t="s">
        <v>128</v>
      </c>
      <c r="C702" t="s">
        <v>1521</v>
      </c>
      <c r="D702" t="s">
        <v>16</v>
      </c>
      <c r="E702" t="s">
        <v>17</v>
      </c>
      <c r="F702">
        <v>7</v>
      </c>
      <c r="G702" t="s">
        <v>47</v>
      </c>
      <c r="H702" s="4">
        <v>0.68541666666666667</v>
      </c>
      <c r="I702" s="5">
        <v>44175</v>
      </c>
    </row>
    <row r="703" spans="1:9" x14ac:dyDescent="0.3">
      <c r="A703" t="s">
        <v>1522</v>
      </c>
      <c r="B703" t="s">
        <v>128</v>
      </c>
      <c r="C703" t="s">
        <v>1523</v>
      </c>
      <c r="D703" t="s">
        <v>68</v>
      </c>
      <c r="E703" t="s">
        <v>64</v>
      </c>
      <c r="F703">
        <v>5</v>
      </c>
      <c r="G703" t="s">
        <v>18</v>
      </c>
      <c r="H703" s="4">
        <v>0.80833333333333324</v>
      </c>
      <c r="I703" s="5">
        <v>43913</v>
      </c>
    </row>
    <row r="704" spans="1:9" x14ac:dyDescent="0.3">
      <c r="A704" t="s">
        <v>1524</v>
      </c>
      <c r="B704" t="s">
        <v>339</v>
      </c>
      <c r="C704" t="s">
        <v>1525</v>
      </c>
      <c r="D704" t="s">
        <v>10</v>
      </c>
      <c r="E704" t="s">
        <v>23</v>
      </c>
      <c r="F704">
        <v>3</v>
      </c>
      <c r="G704" t="s">
        <v>47</v>
      </c>
      <c r="H704" s="4">
        <v>0.92152777777777783</v>
      </c>
      <c r="I704" s="5">
        <v>43927</v>
      </c>
    </row>
    <row r="705" spans="1:9" x14ac:dyDescent="0.3">
      <c r="A705" t="s">
        <v>1526</v>
      </c>
      <c r="B705" t="s">
        <v>212</v>
      </c>
      <c r="C705" t="s">
        <v>1527</v>
      </c>
      <c r="D705" t="s">
        <v>63</v>
      </c>
      <c r="E705" t="s">
        <v>11</v>
      </c>
      <c r="F705">
        <v>5</v>
      </c>
      <c r="G705" t="s">
        <v>12</v>
      </c>
      <c r="H705" s="4">
        <v>0.95486111111111116</v>
      </c>
      <c r="I705" s="5">
        <v>44178</v>
      </c>
    </row>
    <row r="706" spans="1:9" x14ac:dyDescent="0.3">
      <c r="A706" t="s">
        <v>1528</v>
      </c>
      <c r="B706" t="s">
        <v>395</v>
      </c>
      <c r="C706" t="s">
        <v>1529</v>
      </c>
      <c r="D706" t="s">
        <v>10</v>
      </c>
      <c r="E706" t="s">
        <v>27</v>
      </c>
      <c r="F706">
        <v>5</v>
      </c>
      <c r="G706" t="s">
        <v>47</v>
      </c>
      <c r="H706" s="4">
        <v>0.7368055555555556</v>
      </c>
      <c r="I706" s="5">
        <v>43837</v>
      </c>
    </row>
    <row r="707" spans="1:9" x14ac:dyDescent="0.3">
      <c r="A707" t="s">
        <v>1530</v>
      </c>
      <c r="B707" t="s">
        <v>171</v>
      </c>
      <c r="C707" t="s">
        <v>522</v>
      </c>
      <c r="D707" t="s">
        <v>76</v>
      </c>
      <c r="E707" t="s">
        <v>105</v>
      </c>
      <c r="F707">
        <v>9</v>
      </c>
      <c r="G707" t="s">
        <v>47</v>
      </c>
      <c r="H707" s="4">
        <v>0.47222222222222227</v>
      </c>
      <c r="I707" s="5">
        <v>43917</v>
      </c>
    </row>
    <row r="708" spans="1:9" x14ac:dyDescent="0.3">
      <c r="A708" t="s">
        <v>1531</v>
      </c>
      <c r="B708" t="s">
        <v>1366</v>
      </c>
      <c r="C708" t="s">
        <v>1532</v>
      </c>
      <c r="D708" t="s">
        <v>68</v>
      </c>
      <c r="E708" t="s">
        <v>11</v>
      </c>
      <c r="F708">
        <v>9</v>
      </c>
      <c r="G708" t="s">
        <v>12</v>
      </c>
      <c r="H708" s="4">
        <v>0.91736111111111107</v>
      </c>
      <c r="I708" s="5">
        <v>44171</v>
      </c>
    </row>
    <row r="709" spans="1:9" x14ac:dyDescent="0.3">
      <c r="A709" t="s">
        <v>1533</v>
      </c>
      <c r="B709" t="s">
        <v>374</v>
      </c>
      <c r="C709" t="s">
        <v>1534</v>
      </c>
      <c r="D709" t="s">
        <v>79</v>
      </c>
      <c r="E709" t="s">
        <v>130</v>
      </c>
      <c r="F709">
        <v>7</v>
      </c>
      <c r="G709" t="s">
        <v>47</v>
      </c>
      <c r="H709" s="4">
        <v>0.43611111111111112</v>
      </c>
      <c r="I709" s="5">
        <v>44136</v>
      </c>
    </row>
    <row r="710" spans="1:9" x14ac:dyDescent="0.3">
      <c r="A710" t="s">
        <v>1535</v>
      </c>
      <c r="B710" t="s">
        <v>895</v>
      </c>
      <c r="C710" t="s">
        <v>236</v>
      </c>
      <c r="D710" t="s">
        <v>22</v>
      </c>
      <c r="E710" t="s">
        <v>27</v>
      </c>
      <c r="F710">
        <v>10</v>
      </c>
      <c r="G710" t="s">
        <v>47</v>
      </c>
      <c r="H710" s="4">
        <v>0.68541666666666667</v>
      </c>
      <c r="I710" s="5">
        <v>44051</v>
      </c>
    </row>
    <row r="711" spans="1:9" x14ac:dyDescent="0.3">
      <c r="A711" t="s">
        <v>1536</v>
      </c>
      <c r="B711" t="s">
        <v>285</v>
      </c>
      <c r="C711" t="s">
        <v>1537</v>
      </c>
      <c r="D711" t="s">
        <v>16</v>
      </c>
      <c r="E711" t="s">
        <v>40</v>
      </c>
      <c r="F711">
        <v>10</v>
      </c>
      <c r="G711" t="s">
        <v>47</v>
      </c>
      <c r="H711" s="4">
        <v>0.80833333333333324</v>
      </c>
      <c r="I711" s="5">
        <v>44084</v>
      </c>
    </row>
    <row r="712" spans="1:9" x14ac:dyDescent="0.3">
      <c r="A712" t="s">
        <v>1538</v>
      </c>
      <c r="B712" t="s">
        <v>1539</v>
      </c>
      <c r="C712" t="s">
        <v>1540</v>
      </c>
      <c r="D712" t="s">
        <v>16</v>
      </c>
      <c r="E712" t="s">
        <v>36</v>
      </c>
      <c r="F712">
        <v>4</v>
      </c>
      <c r="G712" t="s">
        <v>47</v>
      </c>
      <c r="H712" s="4">
        <v>0.92152777777777783</v>
      </c>
      <c r="I712" s="5">
        <v>44106</v>
      </c>
    </row>
    <row r="713" spans="1:9" x14ac:dyDescent="0.3">
      <c r="A713" t="s">
        <v>1541</v>
      </c>
      <c r="B713" t="s">
        <v>1542</v>
      </c>
      <c r="C713" t="s">
        <v>707</v>
      </c>
      <c r="D713" t="s">
        <v>10</v>
      </c>
      <c r="E713" t="s">
        <v>40</v>
      </c>
      <c r="F713">
        <v>7</v>
      </c>
      <c r="G713" t="s">
        <v>12</v>
      </c>
      <c r="H713" s="4">
        <v>0.95486111111111116</v>
      </c>
      <c r="I713" s="5">
        <v>44090</v>
      </c>
    </row>
    <row r="714" spans="1:9" x14ac:dyDescent="0.3">
      <c r="A714" t="s">
        <v>1543</v>
      </c>
      <c r="B714" t="s">
        <v>352</v>
      </c>
      <c r="C714" t="s">
        <v>1544</v>
      </c>
      <c r="D714" t="s">
        <v>10</v>
      </c>
      <c r="E714" t="s">
        <v>27</v>
      </c>
      <c r="F714">
        <v>7</v>
      </c>
      <c r="G714" t="s">
        <v>47</v>
      </c>
      <c r="H714" s="4">
        <v>0.7368055555555556</v>
      </c>
      <c r="I714" s="5">
        <v>44058</v>
      </c>
    </row>
    <row r="715" spans="1:9" x14ac:dyDescent="0.3">
      <c r="A715" t="s">
        <v>1545</v>
      </c>
      <c r="B715" t="s">
        <v>552</v>
      </c>
      <c r="C715" t="s">
        <v>120</v>
      </c>
      <c r="D715" t="s">
        <v>10</v>
      </c>
      <c r="E715" t="s">
        <v>105</v>
      </c>
      <c r="F715">
        <v>4</v>
      </c>
      <c r="G715" t="s">
        <v>47</v>
      </c>
      <c r="H715" s="4">
        <v>0.47222222222222227</v>
      </c>
      <c r="I715" s="5">
        <v>43905</v>
      </c>
    </row>
    <row r="716" spans="1:9" x14ac:dyDescent="0.3">
      <c r="A716" t="s">
        <v>1546</v>
      </c>
      <c r="B716" t="s">
        <v>739</v>
      </c>
      <c r="C716" t="s">
        <v>1547</v>
      </c>
      <c r="D716" t="s">
        <v>16</v>
      </c>
      <c r="E716" t="s">
        <v>27</v>
      </c>
      <c r="F716">
        <v>10</v>
      </c>
      <c r="G716" t="s">
        <v>47</v>
      </c>
      <c r="H716" s="4">
        <v>0.91736111111111107</v>
      </c>
      <c r="I716" s="5">
        <v>44137</v>
      </c>
    </row>
    <row r="717" spans="1:9" x14ac:dyDescent="0.3">
      <c r="A717" t="s">
        <v>1548</v>
      </c>
      <c r="B717" t="s">
        <v>980</v>
      </c>
      <c r="C717" t="s">
        <v>388</v>
      </c>
      <c r="D717" t="s">
        <v>79</v>
      </c>
      <c r="E717" t="s">
        <v>23</v>
      </c>
      <c r="F717">
        <v>4</v>
      </c>
      <c r="G717" t="s">
        <v>47</v>
      </c>
      <c r="H717" s="4">
        <v>0.43611111111111112</v>
      </c>
      <c r="I717" s="5">
        <v>44015</v>
      </c>
    </row>
    <row r="718" spans="1:9" x14ac:dyDescent="0.3">
      <c r="A718" t="s">
        <v>1549</v>
      </c>
      <c r="B718" t="s">
        <v>727</v>
      </c>
      <c r="C718" t="s">
        <v>1550</v>
      </c>
      <c r="D718" t="s">
        <v>31</v>
      </c>
      <c r="E718" t="s">
        <v>80</v>
      </c>
      <c r="F718">
        <v>6</v>
      </c>
      <c r="G718" t="s">
        <v>12</v>
      </c>
      <c r="H718" s="4">
        <v>0.68541666666666667</v>
      </c>
      <c r="I718" s="5">
        <v>43853</v>
      </c>
    </row>
    <row r="719" spans="1:9" x14ac:dyDescent="0.3">
      <c r="A719" t="s">
        <v>1551</v>
      </c>
      <c r="B719" t="s">
        <v>786</v>
      </c>
      <c r="C719" t="s">
        <v>740</v>
      </c>
      <c r="D719" t="s">
        <v>79</v>
      </c>
      <c r="E719" t="s">
        <v>130</v>
      </c>
      <c r="F719">
        <v>10</v>
      </c>
      <c r="G719" t="s">
        <v>189</v>
      </c>
      <c r="H719" s="4">
        <v>0.80833333333333324</v>
      </c>
      <c r="I719" s="5">
        <v>43909</v>
      </c>
    </row>
    <row r="720" spans="1:9" x14ac:dyDescent="0.3">
      <c r="A720" t="s">
        <v>1552</v>
      </c>
      <c r="B720" t="s">
        <v>1553</v>
      </c>
      <c r="C720" t="s">
        <v>1554</v>
      </c>
      <c r="D720" t="s">
        <v>63</v>
      </c>
      <c r="E720" t="s">
        <v>11</v>
      </c>
      <c r="F720">
        <v>7</v>
      </c>
      <c r="G720" t="s">
        <v>18</v>
      </c>
      <c r="H720" s="4">
        <v>0.92152777777777783</v>
      </c>
      <c r="I720" s="5">
        <v>43948</v>
      </c>
    </row>
    <row r="721" spans="1:9" x14ac:dyDescent="0.3">
      <c r="A721" t="s">
        <v>1555</v>
      </c>
      <c r="B721" t="s">
        <v>128</v>
      </c>
      <c r="C721" t="s">
        <v>236</v>
      </c>
      <c r="D721" t="s">
        <v>79</v>
      </c>
      <c r="E721" t="s">
        <v>105</v>
      </c>
      <c r="F721">
        <v>7</v>
      </c>
      <c r="G721" t="s">
        <v>18</v>
      </c>
      <c r="H721" s="4">
        <v>0.95486111111111116</v>
      </c>
      <c r="I721" s="5">
        <v>44111</v>
      </c>
    </row>
    <row r="722" spans="1:9" x14ac:dyDescent="0.3">
      <c r="A722" t="s">
        <v>1556</v>
      </c>
      <c r="B722" t="s">
        <v>1557</v>
      </c>
      <c r="C722" t="s">
        <v>944</v>
      </c>
      <c r="D722" t="s">
        <v>16</v>
      </c>
      <c r="E722" t="s">
        <v>36</v>
      </c>
      <c r="F722">
        <v>6</v>
      </c>
      <c r="G722" t="s">
        <v>12</v>
      </c>
      <c r="H722" s="4">
        <v>0.7368055555555556</v>
      </c>
      <c r="I722" s="5">
        <v>44038</v>
      </c>
    </row>
    <row r="723" spans="1:9" x14ac:dyDescent="0.3">
      <c r="A723" t="s">
        <v>1558</v>
      </c>
      <c r="B723" t="s">
        <v>315</v>
      </c>
      <c r="C723" t="s">
        <v>1559</v>
      </c>
      <c r="D723" t="s">
        <v>76</v>
      </c>
      <c r="E723" t="s">
        <v>23</v>
      </c>
      <c r="F723">
        <v>9</v>
      </c>
      <c r="G723" t="s">
        <v>12</v>
      </c>
      <c r="H723" s="4">
        <v>0.47222222222222227</v>
      </c>
      <c r="I723" s="5">
        <v>43888</v>
      </c>
    </row>
    <row r="724" spans="1:9" x14ac:dyDescent="0.3">
      <c r="A724" t="s">
        <v>1560</v>
      </c>
      <c r="B724" t="s">
        <v>1236</v>
      </c>
      <c r="C724" t="s">
        <v>595</v>
      </c>
      <c r="D724" t="s">
        <v>79</v>
      </c>
      <c r="E724" t="s">
        <v>23</v>
      </c>
      <c r="F724">
        <v>7</v>
      </c>
      <c r="G724" t="s">
        <v>47</v>
      </c>
      <c r="H724" s="4">
        <v>0.91736111111111107</v>
      </c>
      <c r="I724" s="5">
        <v>43983</v>
      </c>
    </row>
    <row r="725" spans="1:9" x14ac:dyDescent="0.3">
      <c r="A725" t="s">
        <v>1561</v>
      </c>
      <c r="B725" t="s">
        <v>1562</v>
      </c>
      <c r="C725" t="s">
        <v>1563</v>
      </c>
      <c r="D725" t="s">
        <v>16</v>
      </c>
      <c r="E725" t="s">
        <v>40</v>
      </c>
      <c r="F725">
        <v>3</v>
      </c>
      <c r="G725" t="s">
        <v>47</v>
      </c>
      <c r="H725" s="4">
        <v>0.43611111111111112</v>
      </c>
      <c r="I725" s="5">
        <v>43867</v>
      </c>
    </row>
    <row r="726" spans="1:9" x14ac:dyDescent="0.3">
      <c r="A726" t="s">
        <v>1564</v>
      </c>
      <c r="B726" t="s">
        <v>446</v>
      </c>
      <c r="C726" t="s">
        <v>1565</v>
      </c>
      <c r="D726" t="s">
        <v>16</v>
      </c>
      <c r="E726" t="s">
        <v>17</v>
      </c>
      <c r="F726">
        <v>10</v>
      </c>
      <c r="G726" t="s">
        <v>47</v>
      </c>
      <c r="H726" s="4">
        <v>0.68541666666666667</v>
      </c>
      <c r="I726" s="5">
        <v>43956</v>
      </c>
    </row>
    <row r="727" spans="1:9" x14ac:dyDescent="0.3">
      <c r="A727" t="s">
        <v>1566</v>
      </c>
      <c r="B727" t="s">
        <v>478</v>
      </c>
      <c r="C727" t="s">
        <v>1068</v>
      </c>
      <c r="D727" t="s">
        <v>16</v>
      </c>
      <c r="E727" t="s">
        <v>80</v>
      </c>
      <c r="F727">
        <v>4</v>
      </c>
      <c r="G727" t="s">
        <v>47</v>
      </c>
      <c r="H727" s="4">
        <v>0.80833333333333324</v>
      </c>
      <c r="I727" s="5">
        <v>43902</v>
      </c>
    </row>
    <row r="728" spans="1:9" x14ac:dyDescent="0.3">
      <c r="A728" t="s">
        <v>1567</v>
      </c>
      <c r="B728" t="s">
        <v>153</v>
      </c>
      <c r="C728" t="s">
        <v>375</v>
      </c>
      <c r="D728" t="s">
        <v>10</v>
      </c>
      <c r="E728" t="s">
        <v>17</v>
      </c>
      <c r="F728">
        <v>9</v>
      </c>
      <c r="G728" t="s">
        <v>47</v>
      </c>
      <c r="H728" s="4">
        <v>0.92152777777777783</v>
      </c>
      <c r="I728" s="5">
        <v>43963</v>
      </c>
    </row>
    <row r="729" spans="1:9" x14ac:dyDescent="0.3">
      <c r="A729" t="s">
        <v>1568</v>
      </c>
      <c r="B729" t="s">
        <v>98</v>
      </c>
      <c r="C729" t="s">
        <v>792</v>
      </c>
      <c r="D729" t="s">
        <v>22</v>
      </c>
      <c r="E729" t="s">
        <v>36</v>
      </c>
      <c r="F729">
        <v>7</v>
      </c>
      <c r="G729" t="s">
        <v>47</v>
      </c>
      <c r="H729" s="4">
        <v>0.95486111111111116</v>
      </c>
      <c r="I729" s="5">
        <v>44019</v>
      </c>
    </row>
    <row r="730" spans="1:9" x14ac:dyDescent="0.3">
      <c r="A730" t="s">
        <v>1569</v>
      </c>
      <c r="B730" t="s">
        <v>266</v>
      </c>
      <c r="C730" t="s">
        <v>806</v>
      </c>
      <c r="D730" t="s">
        <v>10</v>
      </c>
      <c r="E730" t="s">
        <v>64</v>
      </c>
      <c r="F730">
        <v>4</v>
      </c>
      <c r="G730" t="s">
        <v>47</v>
      </c>
      <c r="H730" s="4">
        <v>0.7368055555555556</v>
      </c>
      <c r="I730" s="5">
        <v>43896</v>
      </c>
    </row>
    <row r="731" spans="1:9" x14ac:dyDescent="0.3">
      <c r="A731" t="s">
        <v>1570</v>
      </c>
      <c r="B731" t="s">
        <v>153</v>
      </c>
      <c r="C731" t="s">
        <v>522</v>
      </c>
      <c r="D731" t="s">
        <v>31</v>
      </c>
      <c r="E731" t="s">
        <v>84</v>
      </c>
      <c r="F731">
        <v>9</v>
      </c>
      <c r="G731" t="s">
        <v>47</v>
      </c>
      <c r="H731" s="4">
        <v>0.47222222222222227</v>
      </c>
      <c r="I731" s="5">
        <v>44187</v>
      </c>
    </row>
    <row r="732" spans="1:9" x14ac:dyDescent="0.3">
      <c r="A732" t="s">
        <v>1571</v>
      </c>
      <c r="B732" t="s">
        <v>443</v>
      </c>
      <c r="C732" t="s">
        <v>1572</v>
      </c>
      <c r="D732" t="s">
        <v>31</v>
      </c>
      <c r="E732" t="s">
        <v>84</v>
      </c>
      <c r="F732">
        <v>8</v>
      </c>
      <c r="G732" t="s">
        <v>47</v>
      </c>
      <c r="H732" s="4">
        <v>0.91736111111111107</v>
      </c>
      <c r="I732" s="5">
        <v>44125</v>
      </c>
    </row>
    <row r="733" spans="1:9" x14ac:dyDescent="0.3">
      <c r="A733" t="s">
        <v>1573</v>
      </c>
      <c r="B733" t="s">
        <v>440</v>
      </c>
      <c r="C733" t="s">
        <v>486</v>
      </c>
      <c r="D733" t="s">
        <v>63</v>
      </c>
      <c r="E733" t="s">
        <v>27</v>
      </c>
      <c r="F733">
        <v>5</v>
      </c>
      <c r="G733" t="s">
        <v>47</v>
      </c>
      <c r="H733" s="4">
        <v>0.43611111111111112</v>
      </c>
      <c r="I733" s="5">
        <v>44094</v>
      </c>
    </row>
    <row r="734" spans="1:9" x14ac:dyDescent="0.3">
      <c r="A734" t="s">
        <v>1574</v>
      </c>
      <c r="B734" t="s">
        <v>436</v>
      </c>
      <c r="C734" t="s">
        <v>1258</v>
      </c>
      <c r="D734" t="s">
        <v>68</v>
      </c>
      <c r="E734" t="s">
        <v>64</v>
      </c>
      <c r="F734">
        <v>5</v>
      </c>
      <c r="G734" t="s">
        <v>343</v>
      </c>
      <c r="H734" s="4">
        <v>0.68541666666666667</v>
      </c>
      <c r="I734" s="5">
        <v>43871</v>
      </c>
    </row>
    <row r="735" spans="1:9" x14ac:dyDescent="0.3">
      <c r="A735" t="s">
        <v>1575</v>
      </c>
      <c r="B735" t="s">
        <v>204</v>
      </c>
      <c r="C735" t="s">
        <v>269</v>
      </c>
      <c r="D735" t="s">
        <v>22</v>
      </c>
      <c r="E735" t="s">
        <v>69</v>
      </c>
      <c r="F735">
        <v>8</v>
      </c>
      <c r="G735" t="s">
        <v>47</v>
      </c>
      <c r="H735" s="4">
        <v>0.80833333333333324</v>
      </c>
      <c r="I735" s="5">
        <v>44038</v>
      </c>
    </row>
    <row r="736" spans="1:9" x14ac:dyDescent="0.3">
      <c r="A736" t="s">
        <v>1576</v>
      </c>
      <c r="B736" t="s">
        <v>1577</v>
      </c>
      <c r="C736" t="s">
        <v>1578</v>
      </c>
      <c r="D736" t="s">
        <v>79</v>
      </c>
      <c r="E736" t="s">
        <v>11</v>
      </c>
      <c r="F736">
        <v>3</v>
      </c>
      <c r="G736" t="s">
        <v>47</v>
      </c>
      <c r="H736" s="4">
        <v>0.92152777777777783</v>
      </c>
      <c r="I736" s="5">
        <v>43953</v>
      </c>
    </row>
    <row r="737" spans="1:9" x14ac:dyDescent="0.3">
      <c r="A737" t="s">
        <v>1579</v>
      </c>
      <c r="B737" t="s">
        <v>478</v>
      </c>
      <c r="C737" t="s">
        <v>572</v>
      </c>
      <c r="D737" t="s">
        <v>76</v>
      </c>
      <c r="E737" t="s">
        <v>36</v>
      </c>
      <c r="F737">
        <v>8</v>
      </c>
      <c r="G737" t="s">
        <v>18</v>
      </c>
      <c r="H737" s="4">
        <v>0.95486111111111116</v>
      </c>
      <c r="I737" s="5">
        <v>43923</v>
      </c>
    </row>
    <row r="738" spans="1:9" x14ac:dyDescent="0.3">
      <c r="A738" t="s">
        <v>1580</v>
      </c>
      <c r="B738" t="s">
        <v>107</v>
      </c>
      <c r="C738" t="s">
        <v>1581</v>
      </c>
      <c r="D738" t="s">
        <v>31</v>
      </c>
      <c r="E738" t="s">
        <v>105</v>
      </c>
      <c r="F738">
        <v>4</v>
      </c>
      <c r="G738" t="s">
        <v>47</v>
      </c>
      <c r="H738" s="4">
        <v>0.7368055555555556</v>
      </c>
      <c r="I738" s="5">
        <v>44101</v>
      </c>
    </row>
    <row r="739" spans="1:9" x14ac:dyDescent="0.3">
      <c r="A739" t="s">
        <v>1582</v>
      </c>
      <c r="B739" t="s">
        <v>1583</v>
      </c>
      <c r="C739" t="s">
        <v>1584</v>
      </c>
      <c r="D739" t="s">
        <v>76</v>
      </c>
      <c r="E739" t="s">
        <v>11</v>
      </c>
      <c r="F739">
        <v>6</v>
      </c>
      <c r="G739" t="s">
        <v>18</v>
      </c>
      <c r="H739" s="4">
        <v>0.47222222222222227</v>
      </c>
      <c r="I739" s="5">
        <v>44098</v>
      </c>
    </row>
    <row r="740" spans="1:9" x14ac:dyDescent="0.3">
      <c r="A740" t="s">
        <v>1585</v>
      </c>
      <c r="B740" t="s">
        <v>128</v>
      </c>
      <c r="C740" t="s">
        <v>1586</v>
      </c>
      <c r="D740" t="s">
        <v>68</v>
      </c>
      <c r="E740" t="s">
        <v>69</v>
      </c>
      <c r="F740">
        <v>4</v>
      </c>
      <c r="G740" t="s">
        <v>47</v>
      </c>
      <c r="H740" s="4">
        <v>0.91736111111111107</v>
      </c>
      <c r="I740" s="5">
        <v>43915</v>
      </c>
    </row>
    <row r="741" spans="1:9" x14ac:dyDescent="0.3">
      <c r="A741" t="s">
        <v>1587</v>
      </c>
      <c r="B741" t="s">
        <v>98</v>
      </c>
      <c r="C741" t="s">
        <v>1588</v>
      </c>
      <c r="D741" t="s">
        <v>79</v>
      </c>
      <c r="E741" t="s">
        <v>69</v>
      </c>
      <c r="F741">
        <v>7</v>
      </c>
      <c r="G741" t="s">
        <v>18</v>
      </c>
      <c r="H741" s="4">
        <v>0.43611111111111112</v>
      </c>
      <c r="I741" s="5">
        <v>43868</v>
      </c>
    </row>
    <row r="742" spans="1:9" x14ac:dyDescent="0.3">
      <c r="A742" t="s">
        <v>1589</v>
      </c>
      <c r="B742" t="s">
        <v>1590</v>
      </c>
      <c r="C742" t="s">
        <v>1591</v>
      </c>
      <c r="D742" t="s">
        <v>68</v>
      </c>
      <c r="E742" t="s">
        <v>11</v>
      </c>
      <c r="F742">
        <v>10</v>
      </c>
      <c r="G742" t="s">
        <v>47</v>
      </c>
      <c r="H742" s="4">
        <v>0.68541666666666667</v>
      </c>
      <c r="I742" s="5">
        <v>44095</v>
      </c>
    </row>
    <row r="743" spans="1:9" x14ac:dyDescent="0.3">
      <c r="A743" t="s">
        <v>1592</v>
      </c>
      <c r="B743" t="s">
        <v>1593</v>
      </c>
      <c r="C743" t="s">
        <v>476</v>
      </c>
      <c r="D743" t="s">
        <v>79</v>
      </c>
      <c r="E743" t="s">
        <v>40</v>
      </c>
      <c r="F743">
        <v>6</v>
      </c>
      <c r="G743" t="s">
        <v>47</v>
      </c>
      <c r="H743" s="4">
        <v>0.80833333333333324</v>
      </c>
      <c r="I743" s="5">
        <v>43876</v>
      </c>
    </row>
    <row r="744" spans="1:9" x14ac:dyDescent="0.3">
      <c r="A744" t="s">
        <v>1594</v>
      </c>
      <c r="B744" t="s">
        <v>321</v>
      </c>
      <c r="C744" t="s">
        <v>1595</v>
      </c>
      <c r="D744" t="s">
        <v>16</v>
      </c>
      <c r="E744" t="s">
        <v>69</v>
      </c>
      <c r="F744">
        <v>10</v>
      </c>
      <c r="G744" t="s">
        <v>47</v>
      </c>
      <c r="H744" s="4">
        <v>0.92152777777777783</v>
      </c>
      <c r="I744" s="5">
        <v>44084</v>
      </c>
    </row>
    <row r="745" spans="1:9" x14ac:dyDescent="0.3">
      <c r="A745" t="s">
        <v>1596</v>
      </c>
      <c r="B745" t="s">
        <v>212</v>
      </c>
      <c r="C745" t="s">
        <v>1597</v>
      </c>
      <c r="D745" t="s">
        <v>31</v>
      </c>
      <c r="E745" t="s">
        <v>17</v>
      </c>
      <c r="F745">
        <v>7</v>
      </c>
      <c r="G745" t="s">
        <v>47</v>
      </c>
      <c r="H745" s="4">
        <v>0.95486111111111116</v>
      </c>
      <c r="I745" s="5">
        <v>44187</v>
      </c>
    </row>
    <row r="746" spans="1:9" x14ac:dyDescent="0.3">
      <c r="A746" t="s">
        <v>1598</v>
      </c>
      <c r="B746" t="s">
        <v>1401</v>
      </c>
      <c r="C746" t="s">
        <v>1599</v>
      </c>
      <c r="D746" t="s">
        <v>16</v>
      </c>
      <c r="E746" t="s">
        <v>130</v>
      </c>
      <c r="F746">
        <v>6</v>
      </c>
      <c r="G746" t="s">
        <v>47</v>
      </c>
      <c r="H746" s="4">
        <v>0.7368055555555556</v>
      </c>
      <c r="I746" s="5">
        <v>44026</v>
      </c>
    </row>
    <row r="747" spans="1:9" x14ac:dyDescent="0.3">
      <c r="A747" t="s">
        <v>1600</v>
      </c>
      <c r="B747" t="s">
        <v>1601</v>
      </c>
      <c r="C747" t="s">
        <v>1238</v>
      </c>
      <c r="D747" t="s">
        <v>22</v>
      </c>
      <c r="E747" t="s">
        <v>64</v>
      </c>
      <c r="F747">
        <v>7</v>
      </c>
      <c r="G747" t="s">
        <v>47</v>
      </c>
      <c r="H747" s="4">
        <v>0.47222222222222227</v>
      </c>
      <c r="I747" s="5">
        <v>43997</v>
      </c>
    </row>
    <row r="748" spans="1:9" x14ac:dyDescent="0.3">
      <c r="A748" t="s">
        <v>1602</v>
      </c>
      <c r="B748" t="s">
        <v>616</v>
      </c>
      <c r="C748" t="s">
        <v>1603</v>
      </c>
      <c r="D748" t="s">
        <v>68</v>
      </c>
      <c r="E748" t="s">
        <v>84</v>
      </c>
      <c r="F748">
        <v>6</v>
      </c>
      <c r="G748" t="s">
        <v>12</v>
      </c>
      <c r="H748" s="4">
        <v>0.91736111111111107</v>
      </c>
      <c r="I748" s="5">
        <v>43878</v>
      </c>
    </row>
    <row r="749" spans="1:9" x14ac:dyDescent="0.3">
      <c r="A749" t="s">
        <v>1604</v>
      </c>
      <c r="B749" t="s">
        <v>1605</v>
      </c>
      <c r="C749" t="s">
        <v>298</v>
      </c>
      <c r="D749" t="s">
        <v>68</v>
      </c>
      <c r="E749" t="s">
        <v>27</v>
      </c>
      <c r="F749">
        <v>3</v>
      </c>
      <c r="G749" t="s">
        <v>18</v>
      </c>
      <c r="H749" s="4">
        <v>0.43611111111111112</v>
      </c>
      <c r="I749" s="5">
        <v>43849</v>
      </c>
    </row>
    <row r="750" spans="1:9" x14ac:dyDescent="0.3">
      <c r="A750" t="s">
        <v>1606</v>
      </c>
      <c r="B750" t="s">
        <v>967</v>
      </c>
      <c r="C750" t="s">
        <v>1607</v>
      </c>
      <c r="D750" t="s">
        <v>79</v>
      </c>
      <c r="E750" t="s">
        <v>23</v>
      </c>
      <c r="F750">
        <v>9</v>
      </c>
      <c r="G750" t="s">
        <v>12</v>
      </c>
      <c r="H750" s="4">
        <v>0.68541666666666667</v>
      </c>
      <c r="I750" s="5">
        <v>44122</v>
      </c>
    </row>
    <row r="751" spans="1:9" x14ac:dyDescent="0.3">
      <c r="A751" t="s">
        <v>1608</v>
      </c>
      <c r="B751" t="s">
        <v>1609</v>
      </c>
      <c r="C751" t="s">
        <v>1610</v>
      </c>
      <c r="D751" t="s">
        <v>79</v>
      </c>
      <c r="E751" t="s">
        <v>105</v>
      </c>
      <c r="F751">
        <v>4</v>
      </c>
      <c r="G751" t="s">
        <v>47</v>
      </c>
      <c r="H751" s="4">
        <v>0.80833333333333324</v>
      </c>
      <c r="I751" s="5">
        <v>44145</v>
      </c>
    </row>
    <row r="752" spans="1:9" x14ac:dyDescent="0.3">
      <c r="A752" t="s">
        <v>1611</v>
      </c>
      <c r="B752" t="s">
        <v>647</v>
      </c>
      <c r="C752" t="s">
        <v>241</v>
      </c>
      <c r="D752" t="s">
        <v>22</v>
      </c>
      <c r="E752" t="s">
        <v>69</v>
      </c>
      <c r="F752">
        <v>9</v>
      </c>
      <c r="G752" t="s">
        <v>47</v>
      </c>
      <c r="H752" s="4">
        <v>0.92152777777777783</v>
      </c>
      <c r="I752" s="5">
        <v>44175</v>
      </c>
    </row>
    <row r="753" spans="1:9" x14ac:dyDescent="0.3">
      <c r="A753" t="s">
        <v>1612</v>
      </c>
      <c r="B753" t="s">
        <v>1613</v>
      </c>
      <c r="C753" t="s">
        <v>1614</v>
      </c>
      <c r="D753" t="s">
        <v>68</v>
      </c>
      <c r="E753" t="s">
        <v>40</v>
      </c>
      <c r="F753">
        <v>6</v>
      </c>
      <c r="G753" t="s">
        <v>18</v>
      </c>
      <c r="H753" s="4">
        <v>0.95486111111111116</v>
      </c>
      <c r="I753" s="5">
        <v>43904</v>
      </c>
    </row>
    <row r="754" spans="1:9" x14ac:dyDescent="0.3">
      <c r="A754" t="s">
        <v>1615</v>
      </c>
      <c r="B754" t="s">
        <v>349</v>
      </c>
      <c r="C754" t="s">
        <v>1616</v>
      </c>
      <c r="D754" t="s">
        <v>63</v>
      </c>
      <c r="E754" t="s">
        <v>32</v>
      </c>
      <c r="F754">
        <v>7</v>
      </c>
      <c r="G754" t="s">
        <v>18</v>
      </c>
      <c r="H754" s="4">
        <v>0.7368055555555556</v>
      </c>
      <c r="I754" s="5">
        <v>44138</v>
      </c>
    </row>
    <row r="755" spans="1:9" x14ac:dyDescent="0.3">
      <c r="A755" t="s">
        <v>1617</v>
      </c>
      <c r="B755" t="s">
        <v>218</v>
      </c>
      <c r="C755" t="s">
        <v>1618</v>
      </c>
      <c r="D755" t="s">
        <v>31</v>
      </c>
      <c r="E755" t="s">
        <v>80</v>
      </c>
      <c r="F755">
        <v>8</v>
      </c>
      <c r="G755" t="s">
        <v>47</v>
      </c>
      <c r="H755" s="4">
        <v>0.47222222222222227</v>
      </c>
      <c r="I755" s="5">
        <v>44040</v>
      </c>
    </row>
    <row r="756" spans="1:9" x14ac:dyDescent="0.3">
      <c r="A756" t="s">
        <v>1619</v>
      </c>
      <c r="B756" t="s">
        <v>1620</v>
      </c>
      <c r="C756" t="s">
        <v>1621</v>
      </c>
      <c r="D756" t="s">
        <v>68</v>
      </c>
      <c r="E756" t="s">
        <v>36</v>
      </c>
      <c r="F756">
        <v>10</v>
      </c>
      <c r="G756" t="s">
        <v>47</v>
      </c>
      <c r="H756" s="4">
        <v>0.91736111111111107</v>
      </c>
      <c r="I756" s="5">
        <v>44066</v>
      </c>
    </row>
    <row r="757" spans="1:9" x14ac:dyDescent="0.3">
      <c r="A757" t="s">
        <v>1622</v>
      </c>
      <c r="B757" t="s">
        <v>482</v>
      </c>
      <c r="C757" t="s">
        <v>1623</v>
      </c>
      <c r="D757" t="s">
        <v>16</v>
      </c>
      <c r="E757" t="s">
        <v>105</v>
      </c>
      <c r="F757">
        <v>5</v>
      </c>
      <c r="G757" t="s">
        <v>343</v>
      </c>
      <c r="H757" s="4">
        <v>0.43611111111111112</v>
      </c>
      <c r="I757" s="5">
        <v>44162</v>
      </c>
    </row>
    <row r="758" spans="1:9" x14ac:dyDescent="0.3">
      <c r="A758" t="s">
        <v>1624</v>
      </c>
      <c r="B758" t="s">
        <v>1401</v>
      </c>
      <c r="C758" t="s">
        <v>1618</v>
      </c>
      <c r="D758" t="s">
        <v>79</v>
      </c>
      <c r="E758" t="s">
        <v>105</v>
      </c>
      <c r="F758">
        <v>10</v>
      </c>
      <c r="G758" t="s">
        <v>47</v>
      </c>
      <c r="H758" s="4">
        <v>0.68541666666666667</v>
      </c>
      <c r="I758" s="5">
        <v>44144</v>
      </c>
    </row>
    <row r="759" spans="1:9" x14ac:dyDescent="0.3">
      <c r="A759" t="s">
        <v>1625</v>
      </c>
      <c r="B759" t="s">
        <v>349</v>
      </c>
      <c r="C759" t="s">
        <v>117</v>
      </c>
      <c r="D759" t="s">
        <v>68</v>
      </c>
      <c r="E759" t="s">
        <v>11</v>
      </c>
      <c r="F759">
        <v>10</v>
      </c>
      <c r="G759" t="s">
        <v>47</v>
      </c>
      <c r="H759" s="4">
        <v>0.80833333333333324</v>
      </c>
      <c r="I759" s="5">
        <v>43917</v>
      </c>
    </row>
    <row r="760" spans="1:9" x14ac:dyDescent="0.3">
      <c r="A760" t="s">
        <v>1626</v>
      </c>
      <c r="B760" t="s">
        <v>122</v>
      </c>
      <c r="C760" t="s">
        <v>1307</v>
      </c>
      <c r="D760" t="s">
        <v>79</v>
      </c>
      <c r="E760" t="s">
        <v>23</v>
      </c>
      <c r="F760">
        <v>10</v>
      </c>
      <c r="G760" t="s">
        <v>47</v>
      </c>
      <c r="H760" s="4">
        <v>0.92152777777777783</v>
      </c>
      <c r="I760" s="5">
        <v>44097</v>
      </c>
    </row>
    <row r="761" spans="1:9" x14ac:dyDescent="0.3">
      <c r="A761" t="s">
        <v>1627</v>
      </c>
      <c r="B761" t="s">
        <v>591</v>
      </c>
      <c r="C761" t="s">
        <v>1628</v>
      </c>
      <c r="D761" t="s">
        <v>76</v>
      </c>
      <c r="E761" t="s">
        <v>69</v>
      </c>
      <c r="F761">
        <v>10</v>
      </c>
      <c r="G761" t="s">
        <v>18</v>
      </c>
      <c r="H761" s="4">
        <v>0.95486111111111116</v>
      </c>
      <c r="I761" s="5">
        <v>43977</v>
      </c>
    </row>
    <row r="762" spans="1:9" x14ac:dyDescent="0.3">
      <c r="A762" t="s">
        <v>1629</v>
      </c>
      <c r="B762" t="s">
        <v>282</v>
      </c>
      <c r="C762" t="s">
        <v>1630</v>
      </c>
      <c r="D762" t="s">
        <v>63</v>
      </c>
      <c r="E762" t="s">
        <v>32</v>
      </c>
      <c r="F762">
        <v>4</v>
      </c>
      <c r="G762" t="s">
        <v>47</v>
      </c>
      <c r="H762" s="4">
        <v>0.7368055555555556</v>
      </c>
      <c r="I762" s="5">
        <v>44127</v>
      </c>
    </row>
    <row r="763" spans="1:9" x14ac:dyDescent="0.3">
      <c r="A763" t="s">
        <v>1631</v>
      </c>
      <c r="B763" t="s">
        <v>34</v>
      </c>
      <c r="C763" t="s">
        <v>851</v>
      </c>
      <c r="D763" t="s">
        <v>51</v>
      </c>
      <c r="E763" t="s">
        <v>105</v>
      </c>
      <c r="F763">
        <v>7</v>
      </c>
      <c r="G763" t="s">
        <v>18</v>
      </c>
      <c r="H763" s="4">
        <v>0.47222222222222227</v>
      </c>
      <c r="I763" s="5">
        <v>44144</v>
      </c>
    </row>
    <row r="764" spans="1:9" x14ac:dyDescent="0.3">
      <c r="A764" t="s">
        <v>1632</v>
      </c>
      <c r="B764" t="s">
        <v>1633</v>
      </c>
      <c r="C764" t="s">
        <v>1215</v>
      </c>
      <c r="D764" t="s">
        <v>79</v>
      </c>
      <c r="E764" t="s">
        <v>17</v>
      </c>
      <c r="F764">
        <v>5</v>
      </c>
      <c r="G764" t="s">
        <v>47</v>
      </c>
      <c r="H764" s="4">
        <v>0.91736111111111107</v>
      </c>
      <c r="I764" s="5">
        <v>43959</v>
      </c>
    </row>
    <row r="765" spans="1:9" x14ac:dyDescent="0.3">
      <c r="A765" t="s">
        <v>1634</v>
      </c>
      <c r="B765" t="s">
        <v>45</v>
      </c>
      <c r="C765" t="s">
        <v>1362</v>
      </c>
      <c r="D765" t="s">
        <v>22</v>
      </c>
      <c r="E765" t="s">
        <v>36</v>
      </c>
      <c r="F765">
        <v>10</v>
      </c>
      <c r="G765" t="s">
        <v>47</v>
      </c>
      <c r="H765" s="4">
        <v>0.43611111111111112</v>
      </c>
      <c r="I765" s="5">
        <v>43856</v>
      </c>
    </row>
    <row r="766" spans="1:9" x14ac:dyDescent="0.3">
      <c r="A766" t="s">
        <v>1635</v>
      </c>
      <c r="B766" t="s">
        <v>349</v>
      </c>
      <c r="C766" t="s">
        <v>1636</v>
      </c>
      <c r="D766" t="s">
        <v>31</v>
      </c>
      <c r="E766" t="s">
        <v>17</v>
      </c>
      <c r="F766">
        <v>6</v>
      </c>
      <c r="G766" t="s">
        <v>18</v>
      </c>
      <c r="H766" s="4">
        <v>0.68541666666666667</v>
      </c>
      <c r="I766" s="5">
        <v>43863</v>
      </c>
    </row>
    <row r="767" spans="1:9" x14ac:dyDescent="0.3">
      <c r="A767" t="s">
        <v>1637</v>
      </c>
      <c r="B767" t="s">
        <v>1638</v>
      </c>
      <c r="C767" t="s">
        <v>778</v>
      </c>
      <c r="D767" t="s">
        <v>51</v>
      </c>
      <c r="E767" t="s">
        <v>23</v>
      </c>
      <c r="F767">
        <v>9</v>
      </c>
      <c r="G767" t="s">
        <v>12</v>
      </c>
      <c r="H767" s="4">
        <v>0.80833333333333324</v>
      </c>
      <c r="I767" s="5">
        <v>43945</v>
      </c>
    </row>
    <row r="768" spans="1:9" x14ac:dyDescent="0.3">
      <c r="A768" t="s">
        <v>1639</v>
      </c>
      <c r="B768" t="s">
        <v>1640</v>
      </c>
      <c r="C768" t="s">
        <v>1641</v>
      </c>
      <c r="D768" t="s">
        <v>10</v>
      </c>
      <c r="E768" t="s">
        <v>17</v>
      </c>
      <c r="F768">
        <v>9</v>
      </c>
      <c r="G768" t="s">
        <v>47</v>
      </c>
      <c r="H768" s="4">
        <v>0.92152777777777783</v>
      </c>
      <c r="I768" s="5">
        <v>43871</v>
      </c>
    </row>
    <row r="769" spans="1:9" x14ac:dyDescent="0.3">
      <c r="A769" t="s">
        <v>1642</v>
      </c>
      <c r="B769" t="s">
        <v>1032</v>
      </c>
      <c r="C769" t="s">
        <v>1643</v>
      </c>
      <c r="D769" t="s">
        <v>31</v>
      </c>
      <c r="E769" t="s">
        <v>36</v>
      </c>
      <c r="F769">
        <v>5</v>
      </c>
      <c r="G769" t="s">
        <v>47</v>
      </c>
      <c r="H769" s="4">
        <v>0.95486111111111116</v>
      </c>
      <c r="I769" s="5">
        <v>43835</v>
      </c>
    </row>
    <row r="770" spans="1:9" x14ac:dyDescent="0.3">
      <c r="A770" t="s">
        <v>1644</v>
      </c>
      <c r="B770" t="s">
        <v>138</v>
      </c>
      <c r="C770" t="s">
        <v>1645</v>
      </c>
      <c r="D770" t="s">
        <v>51</v>
      </c>
      <c r="E770" t="s">
        <v>17</v>
      </c>
      <c r="F770">
        <v>10</v>
      </c>
      <c r="G770" t="s">
        <v>47</v>
      </c>
      <c r="H770" s="4">
        <v>0.7368055555555556</v>
      </c>
      <c r="I770" s="5">
        <v>43882</v>
      </c>
    </row>
    <row r="771" spans="1:9" x14ac:dyDescent="0.3">
      <c r="A771" t="s">
        <v>1646</v>
      </c>
      <c r="B771" t="s">
        <v>1112</v>
      </c>
      <c r="C771" t="s">
        <v>868</v>
      </c>
      <c r="D771" t="s">
        <v>68</v>
      </c>
      <c r="E771" t="s">
        <v>105</v>
      </c>
      <c r="F771">
        <v>3</v>
      </c>
      <c r="G771" t="s">
        <v>18</v>
      </c>
      <c r="H771" s="4">
        <v>0.47222222222222227</v>
      </c>
      <c r="I771" s="5">
        <v>43935</v>
      </c>
    </row>
    <row r="772" spans="1:9" x14ac:dyDescent="0.3">
      <c r="A772" t="s">
        <v>1647</v>
      </c>
      <c r="B772" t="s">
        <v>478</v>
      </c>
      <c r="C772" t="s">
        <v>1648</v>
      </c>
      <c r="D772" t="s">
        <v>79</v>
      </c>
      <c r="E772" t="s">
        <v>27</v>
      </c>
      <c r="F772">
        <v>5</v>
      </c>
      <c r="G772" t="s">
        <v>12</v>
      </c>
      <c r="H772" s="4">
        <v>0.91736111111111107</v>
      </c>
      <c r="I772" s="5">
        <v>44015</v>
      </c>
    </row>
    <row r="773" spans="1:9" x14ac:dyDescent="0.3">
      <c r="A773" t="s">
        <v>1649</v>
      </c>
      <c r="B773" t="s">
        <v>1650</v>
      </c>
      <c r="C773" t="s">
        <v>1651</v>
      </c>
      <c r="D773" t="s">
        <v>16</v>
      </c>
      <c r="E773" t="s">
        <v>27</v>
      </c>
      <c r="F773">
        <v>7</v>
      </c>
      <c r="G773" t="s">
        <v>12</v>
      </c>
      <c r="H773" s="4">
        <v>0.43611111111111112</v>
      </c>
      <c r="I773" s="5">
        <v>43958</v>
      </c>
    </row>
    <row r="774" spans="1:9" x14ac:dyDescent="0.3">
      <c r="A774" t="s">
        <v>1652</v>
      </c>
      <c r="B774" t="s">
        <v>171</v>
      </c>
      <c r="C774" t="s">
        <v>806</v>
      </c>
      <c r="D774" t="s">
        <v>76</v>
      </c>
      <c r="E774" t="s">
        <v>32</v>
      </c>
      <c r="F774">
        <v>7</v>
      </c>
      <c r="G774" t="s">
        <v>12</v>
      </c>
      <c r="H774" s="4">
        <v>0.68541666666666667</v>
      </c>
      <c r="I774" s="5">
        <v>43876</v>
      </c>
    </row>
    <row r="775" spans="1:9" x14ac:dyDescent="0.3">
      <c r="A775" t="s">
        <v>1653</v>
      </c>
      <c r="B775" t="s">
        <v>318</v>
      </c>
      <c r="C775" t="s">
        <v>769</v>
      </c>
      <c r="D775" t="s">
        <v>79</v>
      </c>
      <c r="E775" t="s">
        <v>80</v>
      </c>
      <c r="F775">
        <v>5</v>
      </c>
      <c r="G775" t="s">
        <v>12</v>
      </c>
      <c r="H775" s="4">
        <v>0.80833333333333324</v>
      </c>
      <c r="I775" s="5">
        <v>43925</v>
      </c>
    </row>
    <row r="776" spans="1:9" x14ac:dyDescent="0.3">
      <c r="A776" t="s">
        <v>1654</v>
      </c>
      <c r="B776" t="s">
        <v>119</v>
      </c>
      <c r="C776" t="s">
        <v>1020</v>
      </c>
      <c r="D776" t="s">
        <v>79</v>
      </c>
      <c r="E776" t="s">
        <v>69</v>
      </c>
      <c r="F776">
        <v>9</v>
      </c>
      <c r="G776" t="s">
        <v>47</v>
      </c>
      <c r="H776" s="4">
        <v>0.92152777777777783</v>
      </c>
      <c r="I776" s="5">
        <v>44068</v>
      </c>
    </row>
    <row r="777" spans="1:9" x14ac:dyDescent="0.3">
      <c r="A777" t="s">
        <v>1655</v>
      </c>
      <c r="B777" t="s">
        <v>49</v>
      </c>
      <c r="C777" t="s">
        <v>50</v>
      </c>
      <c r="D777" t="s">
        <v>51</v>
      </c>
      <c r="E777" t="s">
        <v>105</v>
      </c>
      <c r="F777">
        <v>4</v>
      </c>
      <c r="G777" t="s">
        <v>47</v>
      </c>
      <c r="H777" s="4">
        <v>0.95486111111111116</v>
      </c>
      <c r="I777" s="5">
        <v>43938</v>
      </c>
    </row>
    <row r="778" spans="1:9" x14ac:dyDescent="0.3">
      <c r="A778" t="s">
        <v>1656</v>
      </c>
      <c r="B778" t="s">
        <v>1067</v>
      </c>
      <c r="C778" t="s">
        <v>1657</v>
      </c>
      <c r="D778" t="s">
        <v>31</v>
      </c>
      <c r="E778" t="s">
        <v>130</v>
      </c>
      <c r="F778">
        <v>10</v>
      </c>
      <c r="G778" t="s">
        <v>47</v>
      </c>
      <c r="H778" s="4">
        <v>0.7368055555555556</v>
      </c>
      <c r="I778" s="5">
        <v>44077</v>
      </c>
    </row>
    <row r="779" spans="1:9" x14ac:dyDescent="0.3">
      <c r="A779" t="s">
        <v>1658</v>
      </c>
      <c r="B779" t="s">
        <v>1152</v>
      </c>
      <c r="C779" t="s">
        <v>1659</v>
      </c>
      <c r="D779" t="s">
        <v>10</v>
      </c>
      <c r="E779" t="s">
        <v>84</v>
      </c>
      <c r="F779">
        <v>8</v>
      </c>
      <c r="G779" t="s">
        <v>47</v>
      </c>
      <c r="H779" s="4">
        <v>0.47222222222222227</v>
      </c>
      <c r="I779" s="5">
        <v>44185</v>
      </c>
    </row>
    <row r="780" spans="1:9" x14ac:dyDescent="0.3">
      <c r="A780" t="s">
        <v>1660</v>
      </c>
      <c r="B780" t="s">
        <v>1302</v>
      </c>
      <c r="C780" t="s">
        <v>1559</v>
      </c>
      <c r="D780" t="s">
        <v>10</v>
      </c>
      <c r="E780" t="s">
        <v>69</v>
      </c>
      <c r="F780">
        <v>5</v>
      </c>
      <c r="G780" t="s">
        <v>18</v>
      </c>
      <c r="H780" s="4">
        <v>0.91736111111111107</v>
      </c>
      <c r="I780" s="5">
        <v>44084</v>
      </c>
    </row>
    <row r="781" spans="1:9" x14ac:dyDescent="0.3">
      <c r="A781" t="s">
        <v>1661</v>
      </c>
      <c r="B781" t="s">
        <v>616</v>
      </c>
      <c r="C781" t="s">
        <v>1415</v>
      </c>
      <c r="D781" t="s">
        <v>76</v>
      </c>
      <c r="E781" t="s">
        <v>23</v>
      </c>
      <c r="F781">
        <v>8</v>
      </c>
      <c r="G781" t="s">
        <v>47</v>
      </c>
      <c r="H781" s="4">
        <v>0.43611111111111112</v>
      </c>
      <c r="I781" s="5">
        <v>44169</v>
      </c>
    </row>
    <row r="782" spans="1:9" x14ac:dyDescent="0.3">
      <c r="A782" t="s">
        <v>1662</v>
      </c>
      <c r="B782" t="s">
        <v>1663</v>
      </c>
      <c r="C782" t="s">
        <v>1362</v>
      </c>
      <c r="D782" t="s">
        <v>31</v>
      </c>
      <c r="E782" t="s">
        <v>91</v>
      </c>
      <c r="F782">
        <v>8</v>
      </c>
      <c r="G782" t="s">
        <v>12</v>
      </c>
      <c r="H782" s="4">
        <v>0.68541666666666667</v>
      </c>
      <c r="I782" s="5">
        <v>43944</v>
      </c>
    </row>
    <row r="783" spans="1:9" x14ac:dyDescent="0.3">
      <c r="A783" t="s">
        <v>1664</v>
      </c>
      <c r="B783" t="s">
        <v>1665</v>
      </c>
      <c r="C783" t="s">
        <v>1666</v>
      </c>
      <c r="D783" t="s">
        <v>16</v>
      </c>
      <c r="E783" t="s">
        <v>32</v>
      </c>
      <c r="F783">
        <v>6</v>
      </c>
      <c r="G783" t="s">
        <v>47</v>
      </c>
      <c r="H783" s="4">
        <v>0.80833333333333324</v>
      </c>
      <c r="I783" s="5">
        <v>44069</v>
      </c>
    </row>
    <row r="784" spans="1:9" x14ac:dyDescent="0.3">
      <c r="A784" t="s">
        <v>1667</v>
      </c>
      <c r="B784" t="s">
        <v>71</v>
      </c>
      <c r="C784" t="s">
        <v>1668</v>
      </c>
      <c r="D784" t="s">
        <v>79</v>
      </c>
      <c r="E784" t="s">
        <v>130</v>
      </c>
      <c r="F784">
        <v>7</v>
      </c>
      <c r="G784" t="s">
        <v>18</v>
      </c>
      <c r="H784" s="4">
        <v>0.92152777777777783</v>
      </c>
      <c r="I784" s="5">
        <v>43873</v>
      </c>
    </row>
    <row r="785" spans="1:9" x14ac:dyDescent="0.3">
      <c r="A785" t="s">
        <v>1669</v>
      </c>
      <c r="B785" t="s">
        <v>176</v>
      </c>
      <c r="C785" t="s">
        <v>1670</v>
      </c>
      <c r="D785" t="s">
        <v>31</v>
      </c>
      <c r="E785" t="s">
        <v>27</v>
      </c>
      <c r="F785">
        <v>9</v>
      </c>
      <c r="G785" t="s">
        <v>12</v>
      </c>
      <c r="H785" s="4">
        <v>0.95486111111111116</v>
      </c>
      <c r="I785" s="5">
        <v>44178</v>
      </c>
    </row>
    <row r="786" spans="1:9" x14ac:dyDescent="0.3">
      <c r="A786" t="s">
        <v>1671</v>
      </c>
      <c r="B786" t="s">
        <v>426</v>
      </c>
      <c r="C786" t="s">
        <v>717</v>
      </c>
      <c r="D786" t="s">
        <v>79</v>
      </c>
      <c r="E786" t="s">
        <v>130</v>
      </c>
      <c r="F786">
        <v>4</v>
      </c>
      <c r="G786" t="s">
        <v>18</v>
      </c>
      <c r="H786" s="4">
        <v>0.7368055555555556</v>
      </c>
      <c r="I786" s="5">
        <v>44143</v>
      </c>
    </row>
    <row r="787" spans="1:9" x14ac:dyDescent="0.3">
      <c r="A787" t="s">
        <v>1672</v>
      </c>
      <c r="B787" t="s">
        <v>225</v>
      </c>
      <c r="C787" t="s">
        <v>1673</v>
      </c>
      <c r="D787" t="s">
        <v>16</v>
      </c>
      <c r="E787" t="s">
        <v>105</v>
      </c>
      <c r="F787">
        <v>7</v>
      </c>
      <c r="G787" t="s">
        <v>18</v>
      </c>
      <c r="H787" s="4">
        <v>0.47222222222222227</v>
      </c>
      <c r="I787" s="5">
        <v>43962</v>
      </c>
    </row>
    <row r="788" spans="1:9" x14ac:dyDescent="0.3">
      <c r="A788" t="s">
        <v>1674</v>
      </c>
      <c r="B788" t="s">
        <v>1675</v>
      </c>
      <c r="C788" t="s">
        <v>1676</v>
      </c>
      <c r="D788" t="s">
        <v>22</v>
      </c>
      <c r="E788" t="s">
        <v>91</v>
      </c>
      <c r="F788">
        <v>10</v>
      </c>
      <c r="G788" t="s">
        <v>12</v>
      </c>
      <c r="H788" s="4">
        <v>0.91736111111111107</v>
      </c>
      <c r="I788" s="5">
        <v>43945</v>
      </c>
    </row>
    <row r="789" spans="1:9" x14ac:dyDescent="0.3">
      <c r="A789" t="s">
        <v>1677</v>
      </c>
      <c r="B789" t="s">
        <v>249</v>
      </c>
      <c r="C789" t="s">
        <v>1678</v>
      </c>
      <c r="D789" t="s">
        <v>76</v>
      </c>
      <c r="E789" t="s">
        <v>84</v>
      </c>
      <c r="F789">
        <v>5</v>
      </c>
      <c r="G789" t="s">
        <v>47</v>
      </c>
      <c r="H789" s="4">
        <v>0.43611111111111112</v>
      </c>
      <c r="I789" s="5">
        <v>44125</v>
      </c>
    </row>
    <row r="790" spans="1:9" x14ac:dyDescent="0.3">
      <c r="A790" t="s">
        <v>1679</v>
      </c>
      <c r="B790" t="s">
        <v>858</v>
      </c>
      <c r="C790" t="s">
        <v>1680</v>
      </c>
      <c r="D790" t="s">
        <v>51</v>
      </c>
      <c r="E790" t="s">
        <v>80</v>
      </c>
      <c r="F790">
        <v>5</v>
      </c>
      <c r="G790" t="s">
        <v>47</v>
      </c>
      <c r="H790" s="4">
        <v>0.68541666666666667</v>
      </c>
      <c r="I790" s="5">
        <v>44048</v>
      </c>
    </row>
    <row r="791" spans="1:9" x14ac:dyDescent="0.3">
      <c r="A791" t="s">
        <v>1681</v>
      </c>
      <c r="B791" t="s">
        <v>1682</v>
      </c>
      <c r="C791" t="s">
        <v>1683</v>
      </c>
      <c r="D791" t="s">
        <v>76</v>
      </c>
      <c r="E791" t="s">
        <v>80</v>
      </c>
      <c r="F791">
        <v>4</v>
      </c>
      <c r="G791" t="s">
        <v>12</v>
      </c>
      <c r="H791" s="4">
        <v>0.80833333333333324</v>
      </c>
      <c r="I791" s="5">
        <v>43858</v>
      </c>
    </row>
    <row r="792" spans="1:9" x14ac:dyDescent="0.3">
      <c r="A792" t="s">
        <v>1684</v>
      </c>
      <c r="B792" t="s">
        <v>114</v>
      </c>
      <c r="C792" t="s">
        <v>1685</v>
      </c>
      <c r="D792" t="s">
        <v>22</v>
      </c>
      <c r="E792" t="s">
        <v>27</v>
      </c>
      <c r="F792">
        <v>4</v>
      </c>
      <c r="G792" t="s">
        <v>18</v>
      </c>
      <c r="H792" s="4">
        <v>0.92152777777777783</v>
      </c>
      <c r="I792" s="5">
        <v>44022</v>
      </c>
    </row>
    <row r="793" spans="1:9" x14ac:dyDescent="0.3">
      <c r="A793" t="s">
        <v>1686</v>
      </c>
      <c r="B793" t="s">
        <v>176</v>
      </c>
      <c r="C793" t="s">
        <v>1687</v>
      </c>
      <c r="D793" t="s">
        <v>10</v>
      </c>
      <c r="E793" t="s">
        <v>84</v>
      </c>
      <c r="F793">
        <v>3</v>
      </c>
      <c r="G793" t="s">
        <v>12</v>
      </c>
      <c r="H793" s="4">
        <v>0.95486111111111116</v>
      </c>
      <c r="I793" s="5">
        <v>43843</v>
      </c>
    </row>
    <row r="794" spans="1:9" x14ac:dyDescent="0.3">
      <c r="A794" t="s">
        <v>1688</v>
      </c>
      <c r="B794" t="s">
        <v>616</v>
      </c>
      <c r="C794" t="s">
        <v>1689</v>
      </c>
      <c r="D794" t="s">
        <v>31</v>
      </c>
      <c r="E794" t="s">
        <v>91</v>
      </c>
      <c r="F794">
        <v>3</v>
      </c>
      <c r="G794" t="s">
        <v>47</v>
      </c>
      <c r="H794" s="4">
        <v>0.7368055555555556</v>
      </c>
      <c r="I794" s="5">
        <v>43978</v>
      </c>
    </row>
    <row r="795" spans="1:9" x14ac:dyDescent="0.3">
      <c r="A795" t="s">
        <v>1690</v>
      </c>
      <c r="B795" t="s">
        <v>349</v>
      </c>
      <c r="C795" t="s">
        <v>1362</v>
      </c>
      <c r="D795" t="s">
        <v>79</v>
      </c>
      <c r="E795" t="s">
        <v>11</v>
      </c>
      <c r="F795">
        <v>10</v>
      </c>
      <c r="G795" t="s">
        <v>18</v>
      </c>
      <c r="H795" s="4">
        <v>0.47222222222222227</v>
      </c>
      <c r="I795" s="5">
        <v>44047</v>
      </c>
    </row>
    <row r="796" spans="1:9" x14ac:dyDescent="0.3">
      <c r="A796" t="s">
        <v>1691</v>
      </c>
      <c r="B796" t="s">
        <v>98</v>
      </c>
      <c r="C796" t="s">
        <v>1692</v>
      </c>
      <c r="D796" t="s">
        <v>51</v>
      </c>
      <c r="E796" t="s">
        <v>23</v>
      </c>
      <c r="F796">
        <v>9</v>
      </c>
      <c r="G796" t="s">
        <v>47</v>
      </c>
      <c r="H796" s="4">
        <v>0.91736111111111107</v>
      </c>
      <c r="I796" s="5">
        <v>43954</v>
      </c>
    </row>
    <row r="797" spans="1:9" x14ac:dyDescent="0.3">
      <c r="A797" t="s">
        <v>1693</v>
      </c>
      <c r="B797" t="s">
        <v>1081</v>
      </c>
      <c r="C797" t="s">
        <v>1694</v>
      </c>
      <c r="D797" t="s">
        <v>79</v>
      </c>
      <c r="E797" t="s">
        <v>40</v>
      </c>
      <c r="F797">
        <v>10</v>
      </c>
      <c r="G797" t="s">
        <v>343</v>
      </c>
      <c r="H797" s="4">
        <v>0.43611111111111112</v>
      </c>
      <c r="I797" s="5">
        <v>44115</v>
      </c>
    </row>
    <row r="798" spans="1:9" x14ac:dyDescent="0.3">
      <c r="A798" t="s">
        <v>1695</v>
      </c>
      <c r="B798" t="s">
        <v>212</v>
      </c>
      <c r="C798" t="s">
        <v>1696</v>
      </c>
      <c r="D798" t="s">
        <v>22</v>
      </c>
      <c r="E798" t="s">
        <v>69</v>
      </c>
      <c r="F798">
        <v>5</v>
      </c>
      <c r="G798" t="s">
        <v>47</v>
      </c>
      <c r="H798" s="4">
        <v>0.68541666666666667</v>
      </c>
      <c r="I798" s="5">
        <v>43970</v>
      </c>
    </row>
    <row r="799" spans="1:9" x14ac:dyDescent="0.3">
      <c r="A799" t="s">
        <v>1697</v>
      </c>
      <c r="B799" t="s">
        <v>552</v>
      </c>
      <c r="C799" t="s">
        <v>174</v>
      </c>
      <c r="D799" t="s">
        <v>68</v>
      </c>
      <c r="E799" t="s">
        <v>91</v>
      </c>
      <c r="F799">
        <v>7</v>
      </c>
      <c r="G799" t="s">
        <v>18</v>
      </c>
      <c r="H799" s="4">
        <v>0.80833333333333324</v>
      </c>
      <c r="I799" s="5">
        <v>43975</v>
      </c>
    </row>
    <row r="800" spans="1:9" x14ac:dyDescent="0.3">
      <c r="A800" t="s">
        <v>1698</v>
      </c>
      <c r="B800" t="s">
        <v>631</v>
      </c>
      <c r="C800" t="s">
        <v>1699</v>
      </c>
      <c r="D800" t="s">
        <v>79</v>
      </c>
      <c r="E800" t="s">
        <v>64</v>
      </c>
      <c r="F800">
        <v>6</v>
      </c>
      <c r="G800" t="s">
        <v>47</v>
      </c>
      <c r="H800" s="4">
        <v>0.92152777777777783</v>
      </c>
      <c r="I800" s="5">
        <v>44176</v>
      </c>
    </row>
    <row r="801" spans="1:9" x14ac:dyDescent="0.3">
      <c r="A801" t="s">
        <v>1700</v>
      </c>
      <c r="B801" t="s">
        <v>1539</v>
      </c>
      <c r="C801" t="s">
        <v>71</v>
      </c>
      <c r="D801" t="s">
        <v>10</v>
      </c>
      <c r="E801" t="s">
        <v>11</v>
      </c>
      <c r="F801">
        <v>9</v>
      </c>
      <c r="G801" t="s">
        <v>18</v>
      </c>
      <c r="H801" s="4">
        <v>0.95486111111111116</v>
      </c>
      <c r="I801" s="5">
        <v>43837</v>
      </c>
    </row>
    <row r="802" spans="1:9" x14ac:dyDescent="0.3">
      <c r="A802" t="s">
        <v>1701</v>
      </c>
      <c r="B802" t="s">
        <v>1067</v>
      </c>
      <c r="C802" t="s">
        <v>1702</v>
      </c>
      <c r="D802" t="s">
        <v>31</v>
      </c>
      <c r="E802" t="s">
        <v>32</v>
      </c>
      <c r="F802">
        <v>3</v>
      </c>
      <c r="G802" t="s">
        <v>12</v>
      </c>
      <c r="H802" s="4">
        <v>0.7368055555555556</v>
      </c>
      <c r="I802" s="5">
        <v>44004</v>
      </c>
    </row>
    <row r="803" spans="1:9" x14ac:dyDescent="0.3">
      <c r="A803" t="s">
        <v>1703</v>
      </c>
      <c r="B803" t="s">
        <v>297</v>
      </c>
      <c r="C803" t="s">
        <v>818</v>
      </c>
      <c r="D803" t="s">
        <v>31</v>
      </c>
      <c r="E803" t="s">
        <v>84</v>
      </c>
      <c r="F803">
        <v>4</v>
      </c>
      <c r="G803" t="s">
        <v>12</v>
      </c>
      <c r="H803" s="4">
        <v>0.47222222222222227</v>
      </c>
      <c r="I803" s="5">
        <v>43934</v>
      </c>
    </row>
    <row r="804" spans="1:9" x14ac:dyDescent="0.3">
      <c r="A804" t="s">
        <v>1704</v>
      </c>
      <c r="B804" t="s">
        <v>436</v>
      </c>
      <c r="C804" t="s">
        <v>1705</v>
      </c>
      <c r="D804" t="s">
        <v>10</v>
      </c>
      <c r="E804" t="s">
        <v>23</v>
      </c>
      <c r="F804">
        <v>6</v>
      </c>
      <c r="G804" t="s">
        <v>47</v>
      </c>
      <c r="H804" s="4">
        <v>0.91736111111111107</v>
      </c>
      <c r="I804" s="5">
        <v>44167</v>
      </c>
    </row>
    <row r="805" spans="1:9" x14ac:dyDescent="0.3">
      <c r="A805" t="s">
        <v>1706</v>
      </c>
      <c r="B805" t="s">
        <v>176</v>
      </c>
      <c r="C805" t="s">
        <v>120</v>
      </c>
      <c r="D805" t="s">
        <v>16</v>
      </c>
      <c r="E805" t="s">
        <v>40</v>
      </c>
      <c r="F805">
        <v>5</v>
      </c>
      <c r="G805" t="s">
        <v>12</v>
      </c>
      <c r="H805" s="4">
        <v>0.43611111111111112</v>
      </c>
      <c r="I805" s="5">
        <v>44096</v>
      </c>
    </row>
    <row r="806" spans="1:9" x14ac:dyDescent="0.3">
      <c r="A806" t="s">
        <v>1707</v>
      </c>
      <c r="B806" t="s">
        <v>197</v>
      </c>
      <c r="C806" t="s">
        <v>331</v>
      </c>
      <c r="D806" t="s">
        <v>68</v>
      </c>
      <c r="E806" t="s">
        <v>80</v>
      </c>
      <c r="F806">
        <v>3</v>
      </c>
      <c r="G806" t="s">
        <v>18</v>
      </c>
      <c r="H806" s="4">
        <v>0.68541666666666667</v>
      </c>
      <c r="I806" s="5">
        <v>43865</v>
      </c>
    </row>
    <row r="807" spans="1:9" x14ac:dyDescent="0.3">
      <c r="A807" t="s">
        <v>1708</v>
      </c>
      <c r="B807" t="s">
        <v>616</v>
      </c>
      <c r="C807" t="s">
        <v>1521</v>
      </c>
      <c r="D807" t="s">
        <v>63</v>
      </c>
      <c r="E807" t="s">
        <v>11</v>
      </c>
      <c r="F807">
        <v>6</v>
      </c>
      <c r="G807" t="s">
        <v>12</v>
      </c>
      <c r="H807" s="4">
        <v>0.80833333333333324</v>
      </c>
      <c r="I807" s="5">
        <v>43904</v>
      </c>
    </row>
    <row r="808" spans="1:9" x14ac:dyDescent="0.3">
      <c r="A808" t="s">
        <v>1709</v>
      </c>
      <c r="B808" t="s">
        <v>1710</v>
      </c>
      <c r="C808" t="s">
        <v>1711</v>
      </c>
      <c r="D808" t="s">
        <v>51</v>
      </c>
      <c r="E808" t="s">
        <v>84</v>
      </c>
      <c r="F808">
        <v>8</v>
      </c>
      <c r="G808" t="s">
        <v>18</v>
      </c>
      <c r="H808" s="4">
        <v>0.92152777777777783</v>
      </c>
      <c r="I808" s="5">
        <v>44137</v>
      </c>
    </row>
    <row r="809" spans="1:9" x14ac:dyDescent="0.3">
      <c r="A809" t="s">
        <v>1712</v>
      </c>
      <c r="B809" t="s">
        <v>731</v>
      </c>
      <c r="C809" t="s">
        <v>1713</v>
      </c>
      <c r="D809" t="s">
        <v>10</v>
      </c>
      <c r="E809" t="s">
        <v>105</v>
      </c>
      <c r="F809">
        <v>3</v>
      </c>
      <c r="G809" t="s">
        <v>18</v>
      </c>
      <c r="H809" s="4">
        <v>0.95486111111111116</v>
      </c>
      <c r="I809" s="5">
        <v>44166</v>
      </c>
    </row>
    <row r="810" spans="1:9" x14ac:dyDescent="0.3">
      <c r="A810" t="s">
        <v>1714</v>
      </c>
      <c r="B810" t="s">
        <v>266</v>
      </c>
      <c r="C810" t="s">
        <v>397</v>
      </c>
      <c r="D810" t="s">
        <v>63</v>
      </c>
      <c r="E810" t="s">
        <v>23</v>
      </c>
      <c r="F810">
        <v>4</v>
      </c>
      <c r="G810" t="s">
        <v>47</v>
      </c>
      <c r="H810" s="4">
        <v>0.7368055555555556</v>
      </c>
      <c r="I810" s="5">
        <v>43952</v>
      </c>
    </row>
    <row r="811" spans="1:9" x14ac:dyDescent="0.3">
      <c r="A811" t="s">
        <v>1715</v>
      </c>
      <c r="B811" t="s">
        <v>349</v>
      </c>
      <c r="C811" t="s">
        <v>1716</v>
      </c>
      <c r="D811" t="s">
        <v>22</v>
      </c>
      <c r="E811" t="s">
        <v>17</v>
      </c>
      <c r="F811">
        <v>3</v>
      </c>
      <c r="G811" t="s">
        <v>189</v>
      </c>
      <c r="H811" s="4">
        <v>0.47222222222222227</v>
      </c>
      <c r="I811" s="5">
        <v>43842</v>
      </c>
    </row>
    <row r="812" spans="1:9" x14ac:dyDescent="0.3">
      <c r="A812" t="s">
        <v>1717</v>
      </c>
      <c r="B812" t="s">
        <v>751</v>
      </c>
      <c r="C812" t="s">
        <v>291</v>
      </c>
      <c r="D812" t="s">
        <v>22</v>
      </c>
      <c r="E812" t="s">
        <v>91</v>
      </c>
      <c r="F812">
        <v>8</v>
      </c>
      <c r="G812" t="s">
        <v>12</v>
      </c>
      <c r="H812" s="4">
        <v>0.91736111111111107</v>
      </c>
      <c r="I812" s="5">
        <v>43948</v>
      </c>
    </row>
    <row r="813" spans="1:9" x14ac:dyDescent="0.3">
      <c r="A813" t="s">
        <v>1718</v>
      </c>
      <c r="B813" t="s">
        <v>1719</v>
      </c>
      <c r="C813" t="s">
        <v>1668</v>
      </c>
      <c r="D813" t="s">
        <v>63</v>
      </c>
      <c r="E813" t="s">
        <v>11</v>
      </c>
      <c r="F813">
        <v>9</v>
      </c>
      <c r="G813" t="s">
        <v>18</v>
      </c>
      <c r="H813" s="4">
        <v>0.43611111111111112</v>
      </c>
      <c r="I813" s="5">
        <v>43905</v>
      </c>
    </row>
    <row r="814" spans="1:9" x14ac:dyDescent="0.3">
      <c r="A814" t="s">
        <v>1720</v>
      </c>
      <c r="B814" t="s">
        <v>482</v>
      </c>
      <c r="C814" t="s">
        <v>1721</v>
      </c>
      <c r="D814" t="s">
        <v>68</v>
      </c>
      <c r="E814" t="s">
        <v>36</v>
      </c>
      <c r="F814">
        <v>7</v>
      </c>
      <c r="G814" t="s">
        <v>47</v>
      </c>
      <c r="H814" s="4">
        <v>0.68541666666666667</v>
      </c>
      <c r="I814" s="5">
        <v>43935</v>
      </c>
    </row>
    <row r="815" spans="1:9" x14ac:dyDescent="0.3">
      <c r="A815" t="s">
        <v>1722</v>
      </c>
      <c r="B815" t="s">
        <v>917</v>
      </c>
      <c r="C815" t="s">
        <v>1723</v>
      </c>
      <c r="D815" t="s">
        <v>16</v>
      </c>
      <c r="E815" t="s">
        <v>27</v>
      </c>
      <c r="F815">
        <v>3</v>
      </c>
      <c r="G815" t="s">
        <v>18</v>
      </c>
      <c r="H815" s="4">
        <v>0.80833333333333324</v>
      </c>
      <c r="I815" s="5">
        <v>44076</v>
      </c>
    </row>
    <row r="816" spans="1:9" x14ac:dyDescent="0.3">
      <c r="A816" t="s">
        <v>1724</v>
      </c>
      <c r="B816" t="s">
        <v>446</v>
      </c>
      <c r="C816" t="s">
        <v>1030</v>
      </c>
      <c r="D816" t="s">
        <v>31</v>
      </c>
      <c r="E816" t="s">
        <v>32</v>
      </c>
      <c r="F816">
        <v>3</v>
      </c>
      <c r="G816" t="s">
        <v>47</v>
      </c>
      <c r="H816" s="4">
        <v>0.92152777777777783</v>
      </c>
      <c r="I816" s="5">
        <v>44088</v>
      </c>
    </row>
    <row r="817" spans="1:9" x14ac:dyDescent="0.3">
      <c r="A817" t="s">
        <v>1725</v>
      </c>
      <c r="B817" t="s">
        <v>218</v>
      </c>
      <c r="C817" t="s">
        <v>218</v>
      </c>
      <c r="D817" t="s">
        <v>51</v>
      </c>
      <c r="E817" t="s">
        <v>91</v>
      </c>
      <c r="F817">
        <v>8</v>
      </c>
      <c r="G817" t="s">
        <v>12</v>
      </c>
      <c r="H817" s="4">
        <v>0.95486111111111116</v>
      </c>
      <c r="I817" s="5">
        <v>44001</v>
      </c>
    </row>
    <row r="818" spans="1:9" x14ac:dyDescent="0.3">
      <c r="A818" t="s">
        <v>1726</v>
      </c>
      <c r="B818" t="s">
        <v>1710</v>
      </c>
      <c r="C818" t="s">
        <v>1727</v>
      </c>
      <c r="D818" t="s">
        <v>51</v>
      </c>
      <c r="E818" t="s">
        <v>64</v>
      </c>
      <c r="F818">
        <v>7</v>
      </c>
      <c r="G818" t="s">
        <v>12</v>
      </c>
      <c r="H818" s="4">
        <v>0.7368055555555556</v>
      </c>
      <c r="I818" s="5">
        <v>44021</v>
      </c>
    </row>
    <row r="819" spans="1:9" x14ac:dyDescent="0.3">
      <c r="A819" t="s">
        <v>1728</v>
      </c>
      <c r="B819" t="s">
        <v>528</v>
      </c>
      <c r="C819" t="s">
        <v>1729</v>
      </c>
      <c r="D819" t="s">
        <v>31</v>
      </c>
      <c r="E819" t="s">
        <v>23</v>
      </c>
      <c r="F819">
        <v>4</v>
      </c>
      <c r="G819" t="s">
        <v>18</v>
      </c>
      <c r="H819" s="4">
        <v>0.47222222222222227</v>
      </c>
      <c r="I819" s="5">
        <v>43889</v>
      </c>
    </row>
    <row r="820" spans="1:9" x14ac:dyDescent="0.3">
      <c r="A820" t="s">
        <v>1730</v>
      </c>
      <c r="B820" t="s">
        <v>548</v>
      </c>
      <c r="C820" t="s">
        <v>757</v>
      </c>
      <c r="D820" t="s">
        <v>22</v>
      </c>
      <c r="E820" t="s">
        <v>17</v>
      </c>
      <c r="F820">
        <v>7</v>
      </c>
      <c r="G820" t="s">
        <v>18</v>
      </c>
      <c r="H820" s="4">
        <v>0.91736111111111107</v>
      </c>
      <c r="I820" s="5">
        <v>43960</v>
      </c>
    </row>
    <row r="821" spans="1:9" x14ac:dyDescent="0.3">
      <c r="A821" t="s">
        <v>1731</v>
      </c>
      <c r="B821" t="s">
        <v>408</v>
      </c>
      <c r="C821" t="s">
        <v>1119</v>
      </c>
      <c r="D821" t="s">
        <v>79</v>
      </c>
      <c r="E821" t="s">
        <v>27</v>
      </c>
      <c r="F821">
        <v>6</v>
      </c>
      <c r="G821" t="s">
        <v>343</v>
      </c>
      <c r="H821" s="4">
        <v>0.43611111111111112</v>
      </c>
      <c r="I821" s="5">
        <v>44009</v>
      </c>
    </row>
    <row r="822" spans="1:9" x14ac:dyDescent="0.3">
      <c r="A822" t="s">
        <v>1732</v>
      </c>
      <c r="B822" t="s">
        <v>98</v>
      </c>
      <c r="C822" t="s">
        <v>1344</v>
      </c>
      <c r="D822" t="s">
        <v>68</v>
      </c>
      <c r="E822" t="s">
        <v>69</v>
      </c>
      <c r="F822">
        <v>6</v>
      </c>
      <c r="G822" t="s">
        <v>189</v>
      </c>
      <c r="H822" s="4">
        <v>0.68541666666666667</v>
      </c>
      <c r="I822" s="5">
        <v>44018</v>
      </c>
    </row>
    <row r="823" spans="1:9" x14ac:dyDescent="0.3">
      <c r="A823" t="s">
        <v>1733</v>
      </c>
      <c r="B823" t="s">
        <v>309</v>
      </c>
      <c r="C823" t="s">
        <v>851</v>
      </c>
      <c r="D823" t="s">
        <v>10</v>
      </c>
      <c r="E823" t="s">
        <v>105</v>
      </c>
      <c r="F823">
        <v>5</v>
      </c>
      <c r="G823" t="s">
        <v>12</v>
      </c>
      <c r="H823" s="4">
        <v>0.80833333333333324</v>
      </c>
      <c r="I823" s="5">
        <v>44047</v>
      </c>
    </row>
    <row r="824" spans="1:9" x14ac:dyDescent="0.3">
      <c r="A824" t="s">
        <v>1734</v>
      </c>
      <c r="B824" t="s">
        <v>737</v>
      </c>
      <c r="C824" t="s">
        <v>1735</v>
      </c>
      <c r="D824" t="s">
        <v>68</v>
      </c>
      <c r="E824" t="s">
        <v>40</v>
      </c>
      <c r="F824">
        <v>9</v>
      </c>
      <c r="G824" t="s">
        <v>18</v>
      </c>
      <c r="H824" s="4">
        <v>0.92152777777777783</v>
      </c>
      <c r="I824" s="5">
        <v>43868</v>
      </c>
    </row>
    <row r="825" spans="1:9" x14ac:dyDescent="0.3">
      <c r="A825" t="s">
        <v>1736</v>
      </c>
      <c r="B825" t="s">
        <v>1737</v>
      </c>
      <c r="C825" t="s">
        <v>1738</v>
      </c>
      <c r="D825" t="s">
        <v>63</v>
      </c>
      <c r="E825" t="s">
        <v>64</v>
      </c>
      <c r="F825">
        <v>4</v>
      </c>
      <c r="G825" t="s">
        <v>47</v>
      </c>
      <c r="H825" s="4">
        <v>0.95486111111111116</v>
      </c>
      <c r="I825" s="5">
        <v>44187</v>
      </c>
    </row>
    <row r="826" spans="1:9" x14ac:dyDescent="0.3">
      <c r="A826" t="s">
        <v>1739</v>
      </c>
      <c r="B826" t="s">
        <v>408</v>
      </c>
      <c r="C826" t="s">
        <v>1740</v>
      </c>
      <c r="D826" t="s">
        <v>51</v>
      </c>
      <c r="E826" t="s">
        <v>105</v>
      </c>
      <c r="F826">
        <v>5</v>
      </c>
      <c r="G826" t="s">
        <v>47</v>
      </c>
      <c r="H826" s="4">
        <v>0.7368055555555556</v>
      </c>
      <c r="I826" s="5">
        <v>44168</v>
      </c>
    </row>
    <row r="827" spans="1:9" x14ac:dyDescent="0.3">
      <c r="A827" t="s">
        <v>1741</v>
      </c>
      <c r="B827" t="s">
        <v>944</v>
      </c>
      <c r="C827" t="s">
        <v>1742</v>
      </c>
      <c r="D827" t="s">
        <v>10</v>
      </c>
      <c r="E827" t="s">
        <v>130</v>
      </c>
      <c r="F827">
        <v>7</v>
      </c>
      <c r="G827" t="s">
        <v>18</v>
      </c>
      <c r="H827" s="4">
        <v>0.47222222222222227</v>
      </c>
      <c r="I827" s="5">
        <v>44119</v>
      </c>
    </row>
    <row r="828" spans="1:9" x14ac:dyDescent="0.3">
      <c r="A828" t="s">
        <v>1743</v>
      </c>
      <c r="B828" t="s">
        <v>153</v>
      </c>
      <c r="C828" t="s">
        <v>1744</v>
      </c>
      <c r="D828" t="s">
        <v>51</v>
      </c>
      <c r="E828" t="s">
        <v>69</v>
      </c>
      <c r="F828">
        <v>6</v>
      </c>
      <c r="G828" t="s">
        <v>12</v>
      </c>
      <c r="H828" s="4">
        <v>0.91736111111111107</v>
      </c>
      <c r="I828" s="5">
        <v>44147</v>
      </c>
    </row>
    <row r="829" spans="1:9" x14ac:dyDescent="0.3">
      <c r="A829" t="s">
        <v>1745</v>
      </c>
      <c r="B829" t="s">
        <v>295</v>
      </c>
      <c r="C829" t="s">
        <v>1746</v>
      </c>
      <c r="D829" t="s">
        <v>31</v>
      </c>
      <c r="E829" t="s">
        <v>32</v>
      </c>
      <c r="F829">
        <v>9</v>
      </c>
      <c r="G829" t="s">
        <v>12</v>
      </c>
      <c r="H829" s="4">
        <v>0.43611111111111112</v>
      </c>
      <c r="I829" s="5">
        <v>43911</v>
      </c>
    </row>
    <row r="830" spans="1:9" x14ac:dyDescent="0.3">
      <c r="A830" t="s">
        <v>1747</v>
      </c>
      <c r="B830" t="s">
        <v>349</v>
      </c>
      <c r="C830" t="s">
        <v>1748</v>
      </c>
      <c r="D830" t="s">
        <v>76</v>
      </c>
      <c r="E830" t="s">
        <v>64</v>
      </c>
      <c r="F830">
        <v>7</v>
      </c>
      <c r="G830" t="s">
        <v>18</v>
      </c>
      <c r="H830" s="4">
        <v>0.68541666666666667</v>
      </c>
      <c r="I830" s="5">
        <v>44047</v>
      </c>
    </row>
    <row r="831" spans="1:9" x14ac:dyDescent="0.3">
      <c r="A831" t="s">
        <v>1749</v>
      </c>
      <c r="B831" t="s">
        <v>446</v>
      </c>
      <c r="C831" t="s">
        <v>476</v>
      </c>
      <c r="D831" t="s">
        <v>79</v>
      </c>
      <c r="E831" t="s">
        <v>69</v>
      </c>
      <c r="F831">
        <v>5</v>
      </c>
      <c r="G831" t="s">
        <v>47</v>
      </c>
      <c r="H831" s="4">
        <v>0.80833333333333324</v>
      </c>
      <c r="I831" s="5">
        <v>44190</v>
      </c>
    </row>
    <row r="832" spans="1:9" x14ac:dyDescent="0.3">
      <c r="A832" t="s">
        <v>1750</v>
      </c>
      <c r="B832" t="s">
        <v>1751</v>
      </c>
      <c r="C832" t="s">
        <v>1740</v>
      </c>
      <c r="D832" t="s">
        <v>51</v>
      </c>
      <c r="E832" t="s">
        <v>11</v>
      </c>
      <c r="F832">
        <v>5</v>
      </c>
      <c r="G832" t="s">
        <v>12</v>
      </c>
      <c r="H832" s="4">
        <v>0.92152777777777783</v>
      </c>
      <c r="I832" s="5">
        <v>44149</v>
      </c>
    </row>
    <row r="833" spans="1:9" x14ac:dyDescent="0.3">
      <c r="A833" t="s">
        <v>1752</v>
      </c>
      <c r="B833" t="s">
        <v>266</v>
      </c>
      <c r="C833" t="s">
        <v>1753</v>
      </c>
      <c r="D833" t="s">
        <v>79</v>
      </c>
      <c r="E833" t="s">
        <v>32</v>
      </c>
      <c r="F833">
        <v>10</v>
      </c>
      <c r="G833" t="s">
        <v>12</v>
      </c>
      <c r="H833" s="4">
        <v>0.95486111111111116</v>
      </c>
      <c r="I833" s="5">
        <v>43929</v>
      </c>
    </row>
    <row r="834" spans="1:9" x14ac:dyDescent="0.3">
      <c r="A834" t="s">
        <v>1754</v>
      </c>
      <c r="B834" t="s">
        <v>86</v>
      </c>
      <c r="C834" t="s">
        <v>1755</v>
      </c>
      <c r="D834" t="s">
        <v>68</v>
      </c>
      <c r="E834" t="s">
        <v>40</v>
      </c>
      <c r="F834">
        <v>6</v>
      </c>
      <c r="G834" t="s">
        <v>47</v>
      </c>
      <c r="H834" s="4">
        <v>0.7368055555555556</v>
      </c>
      <c r="I834" s="5">
        <v>43939</v>
      </c>
    </row>
    <row r="835" spans="1:9" x14ac:dyDescent="0.3">
      <c r="A835" t="s">
        <v>1756</v>
      </c>
      <c r="B835" t="s">
        <v>1757</v>
      </c>
      <c r="C835" t="s">
        <v>449</v>
      </c>
      <c r="D835" t="s">
        <v>63</v>
      </c>
      <c r="E835" t="s">
        <v>32</v>
      </c>
      <c r="F835">
        <v>9</v>
      </c>
      <c r="G835" t="s">
        <v>47</v>
      </c>
      <c r="H835" s="4">
        <v>0.47222222222222227</v>
      </c>
      <c r="I835" s="5">
        <v>44080</v>
      </c>
    </row>
    <row r="836" spans="1:9" x14ac:dyDescent="0.3">
      <c r="A836" t="s">
        <v>1758</v>
      </c>
      <c r="B836" t="s">
        <v>14</v>
      </c>
      <c r="C836" t="s">
        <v>786</v>
      </c>
      <c r="D836" t="s">
        <v>31</v>
      </c>
      <c r="E836" t="s">
        <v>36</v>
      </c>
      <c r="F836">
        <v>9</v>
      </c>
      <c r="G836" t="s">
        <v>12</v>
      </c>
      <c r="H836" s="4">
        <v>0.91736111111111107</v>
      </c>
      <c r="I836" s="5">
        <v>43999</v>
      </c>
    </row>
    <row r="837" spans="1:9" x14ac:dyDescent="0.3">
      <c r="A837" t="s">
        <v>1759</v>
      </c>
      <c r="B837" t="s">
        <v>1038</v>
      </c>
      <c r="C837" t="s">
        <v>557</v>
      </c>
      <c r="D837" t="s">
        <v>68</v>
      </c>
      <c r="E837" t="s">
        <v>17</v>
      </c>
      <c r="F837">
        <v>4</v>
      </c>
      <c r="G837" t="s">
        <v>18</v>
      </c>
      <c r="H837" s="4">
        <v>0.43611111111111112</v>
      </c>
      <c r="I837" s="5">
        <v>44066</v>
      </c>
    </row>
    <row r="838" spans="1:9" x14ac:dyDescent="0.3">
      <c r="A838" t="s">
        <v>1760</v>
      </c>
      <c r="B838" t="s">
        <v>482</v>
      </c>
      <c r="C838" t="s">
        <v>1761</v>
      </c>
      <c r="D838" t="s">
        <v>68</v>
      </c>
      <c r="E838" t="s">
        <v>105</v>
      </c>
      <c r="F838">
        <v>10</v>
      </c>
      <c r="G838" t="s">
        <v>18</v>
      </c>
      <c r="H838" s="4">
        <v>0.68541666666666667</v>
      </c>
      <c r="I838" s="5">
        <v>44170</v>
      </c>
    </row>
    <row r="839" spans="1:9" x14ac:dyDescent="0.3">
      <c r="A839" t="s">
        <v>1762</v>
      </c>
      <c r="B839" t="s">
        <v>385</v>
      </c>
      <c r="C839" t="s">
        <v>1763</v>
      </c>
      <c r="D839" t="s">
        <v>22</v>
      </c>
      <c r="E839" t="s">
        <v>36</v>
      </c>
      <c r="F839">
        <v>3</v>
      </c>
      <c r="G839" t="s">
        <v>18</v>
      </c>
      <c r="H839" s="4">
        <v>0.80833333333333324</v>
      </c>
      <c r="I839" s="5">
        <v>44048</v>
      </c>
    </row>
    <row r="840" spans="1:9" x14ac:dyDescent="0.3">
      <c r="A840" t="s">
        <v>1764</v>
      </c>
      <c r="B840" t="s">
        <v>1765</v>
      </c>
      <c r="C840" t="s">
        <v>1766</v>
      </c>
      <c r="D840" t="s">
        <v>79</v>
      </c>
      <c r="E840" t="s">
        <v>32</v>
      </c>
      <c r="F840">
        <v>3</v>
      </c>
      <c r="G840" t="s">
        <v>47</v>
      </c>
      <c r="H840" s="4">
        <v>0.92152777777777783</v>
      </c>
      <c r="I840" s="5">
        <v>43926</v>
      </c>
    </row>
    <row r="841" spans="1:9" x14ac:dyDescent="0.3">
      <c r="A841" t="s">
        <v>1767</v>
      </c>
      <c r="B841" t="s">
        <v>1343</v>
      </c>
      <c r="C841" t="s">
        <v>1768</v>
      </c>
      <c r="D841" t="s">
        <v>10</v>
      </c>
      <c r="E841" t="s">
        <v>80</v>
      </c>
      <c r="F841">
        <v>9</v>
      </c>
      <c r="G841" t="s">
        <v>47</v>
      </c>
      <c r="H841" s="4">
        <v>0.95486111111111116</v>
      </c>
      <c r="I841" s="5">
        <v>44144</v>
      </c>
    </row>
    <row r="842" spans="1:9" x14ac:dyDescent="0.3">
      <c r="A842" t="s">
        <v>1769</v>
      </c>
      <c r="B842" t="s">
        <v>1100</v>
      </c>
      <c r="C842" t="s">
        <v>1770</v>
      </c>
      <c r="D842" t="s">
        <v>51</v>
      </c>
      <c r="E842" t="s">
        <v>23</v>
      </c>
      <c r="F842">
        <v>5</v>
      </c>
      <c r="G842" t="s">
        <v>12</v>
      </c>
      <c r="H842" s="4">
        <v>0.7368055555555556</v>
      </c>
      <c r="I842" s="5">
        <v>44006</v>
      </c>
    </row>
    <row r="843" spans="1:9" x14ac:dyDescent="0.3">
      <c r="A843" t="s">
        <v>1771</v>
      </c>
      <c r="B843" t="s">
        <v>1772</v>
      </c>
      <c r="C843" t="s">
        <v>1692</v>
      </c>
      <c r="D843" t="s">
        <v>31</v>
      </c>
      <c r="E843" t="s">
        <v>36</v>
      </c>
      <c r="F843">
        <v>7</v>
      </c>
      <c r="G843" t="s">
        <v>12</v>
      </c>
      <c r="H843" s="4">
        <v>0.47222222222222227</v>
      </c>
      <c r="I843" s="5">
        <v>44161</v>
      </c>
    </row>
    <row r="844" spans="1:9" x14ac:dyDescent="0.3">
      <c r="A844" t="s">
        <v>1773</v>
      </c>
      <c r="B844" t="s">
        <v>1774</v>
      </c>
      <c r="C844" t="s">
        <v>1775</v>
      </c>
      <c r="D844" t="s">
        <v>76</v>
      </c>
      <c r="E844" t="s">
        <v>36</v>
      </c>
      <c r="F844">
        <v>9</v>
      </c>
      <c r="G844" t="s">
        <v>47</v>
      </c>
      <c r="H844" s="4">
        <v>0.91736111111111107</v>
      </c>
      <c r="I844" s="5">
        <v>44101</v>
      </c>
    </row>
    <row r="845" spans="1:9" x14ac:dyDescent="0.3">
      <c r="A845" t="s">
        <v>1776</v>
      </c>
      <c r="B845" t="s">
        <v>613</v>
      </c>
      <c r="C845" t="s">
        <v>1777</v>
      </c>
      <c r="D845" t="s">
        <v>16</v>
      </c>
      <c r="E845" t="s">
        <v>36</v>
      </c>
      <c r="F845">
        <v>8</v>
      </c>
      <c r="G845" t="s">
        <v>47</v>
      </c>
      <c r="H845" s="4">
        <v>0.43611111111111112</v>
      </c>
      <c r="I845" s="5">
        <v>44075</v>
      </c>
    </row>
    <row r="846" spans="1:9" x14ac:dyDescent="0.3">
      <c r="A846" t="s">
        <v>1778</v>
      </c>
      <c r="B846" t="s">
        <v>415</v>
      </c>
      <c r="C846" t="s">
        <v>1779</v>
      </c>
      <c r="D846" t="s">
        <v>79</v>
      </c>
      <c r="E846" t="s">
        <v>17</v>
      </c>
      <c r="F846">
        <v>6</v>
      </c>
      <c r="G846" t="s">
        <v>47</v>
      </c>
      <c r="H846" s="4">
        <v>0.68541666666666667</v>
      </c>
      <c r="I846" s="5">
        <v>43880</v>
      </c>
    </row>
    <row r="847" spans="1:9" x14ac:dyDescent="0.3">
      <c r="A847" t="s">
        <v>1780</v>
      </c>
      <c r="B847" t="s">
        <v>1781</v>
      </c>
      <c r="C847" t="s">
        <v>956</v>
      </c>
      <c r="D847" t="s">
        <v>31</v>
      </c>
      <c r="E847" t="s">
        <v>91</v>
      </c>
      <c r="F847">
        <v>4</v>
      </c>
      <c r="G847" t="s">
        <v>47</v>
      </c>
      <c r="H847" s="4">
        <v>0.80833333333333324</v>
      </c>
      <c r="I847" s="5">
        <v>43844</v>
      </c>
    </row>
    <row r="848" spans="1:9" x14ac:dyDescent="0.3">
      <c r="A848" t="s">
        <v>1782</v>
      </c>
      <c r="B848" t="s">
        <v>458</v>
      </c>
      <c r="C848" t="s">
        <v>1783</v>
      </c>
      <c r="D848" t="s">
        <v>16</v>
      </c>
      <c r="E848" t="s">
        <v>105</v>
      </c>
      <c r="F848">
        <v>5</v>
      </c>
      <c r="G848" t="s">
        <v>18</v>
      </c>
      <c r="H848" s="4">
        <v>0.92152777777777783</v>
      </c>
      <c r="I848" s="5">
        <v>43873</v>
      </c>
    </row>
    <row r="849" spans="1:9" x14ac:dyDescent="0.3">
      <c r="A849" t="s">
        <v>1784</v>
      </c>
      <c r="B849" t="s">
        <v>591</v>
      </c>
      <c r="C849" t="s">
        <v>904</v>
      </c>
      <c r="D849" t="s">
        <v>10</v>
      </c>
      <c r="E849" t="s">
        <v>80</v>
      </c>
      <c r="F849">
        <v>7</v>
      </c>
      <c r="G849" t="s">
        <v>47</v>
      </c>
      <c r="H849" s="4">
        <v>0.95486111111111116</v>
      </c>
      <c r="I849" s="5">
        <v>43987</v>
      </c>
    </row>
    <row r="850" spans="1:9" x14ac:dyDescent="0.3">
      <c r="A850" t="s">
        <v>1785</v>
      </c>
      <c r="B850" t="s">
        <v>1786</v>
      </c>
      <c r="C850" t="s">
        <v>1147</v>
      </c>
      <c r="D850" t="s">
        <v>31</v>
      </c>
      <c r="E850" t="s">
        <v>69</v>
      </c>
      <c r="F850">
        <v>3</v>
      </c>
      <c r="G850" t="s">
        <v>12</v>
      </c>
      <c r="H850" s="4">
        <v>0.7368055555555556</v>
      </c>
      <c r="I850" s="5">
        <v>43997</v>
      </c>
    </row>
    <row r="851" spans="1:9" x14ac:dyDescent="0.3">
      <c r="A851" t="s">
        <v>1787</v>
      </c>
      <c r="B851" t="s">
        <v>802</v>
      </c>
      <c r="C851" t="s">
        <v>1202</v>
      </c>
      <c r="D851" t="s">
        <v>68</v>
      </c>
      <c r="E851" t="s">
        <v>27</v>
      </c>
      <c r="F851">
        <v>4</v>
      </c>
      <c r="G851" t="s">
        <v>18</v>
      </c>
      <c r="H851" s="4">
        <v>0.47222222222222227</v>
      </c>
      <c r="I851" s="5">
        <v>43973</v>
      </c>
    </row>
    <row r="852" spans="1:9" x14ac:dyDescent="0.3">
      <c r="A852" t="s">
        <v>1788</v>
      </c>
      <c r="B852" t="s">
        <v>1281</v>
      </c>
      <c r="C852" t="s">
        <v>1676</v>
      </c>
      <c r="D852" t="s">
        <v>31</v>
      </c>
      <c r="E852" t="s">
        <v>32</v>
      </c>
      <c r="F852">
        <v>7</v>
      </c>
      <c r="G852" t="s">
        <v>47</v>
      </c>
      <c r="H852" s="4">
        <v>0.91736111111111107</v>
      </c>
      <c r="I852" s="5">
        <v>44185</v>
      </c>
    </row>
    <row r="853" spans="1:9" x14ac:dyDescent="0.3">
      <c r="A853" t="s">
        <v>1789</v>
      </c>
      <c r="B853" t="s">
        <v>100</v>
      </c>
      <c r="C853" t="s">
        <v>1790</v>
      </c>
      <c r="D853" t="s">
        <v>76</v>
      </c>
      <c r="E853" t="s">
        <v>11</v>
      </c>
      <c r="F853">
        <v>8</v>
      </c>
      <c r="G853" t="s">
        <v>18</v>
      </c>
      <c r="H853" s="4">
        <v>0.43611111111111112</v>
      </c>
      <c r="I853" s="5">
        <v>43962</v>
      </c>
    </row>
    <row r="854" spans="1:9" x14ac:dyDescent="0.3">
      <c r="A854" t="s">
        <v>1791</v>
      </c>
      <c r="B854" t="s">
        <v>103</v>
      </c>
      <c r="C854" t="s">
        <v>614</v>
      </c>
      <c r="D854" t="s">
        <v>10</v>
      </c>
      <c r="E854" t="s">
        <v>11</v>
      </c>
      <c r="F854">
        <v>5</v>
      </c>
      <c r="G854" t="s">
        <v>18</v>
      </c>
      <c r="H854" s="4">
        <v>0.68541666666666667</v>
      </c>
      <c r="I854" s="5">
        <v>43876</v>
      </c>
    </row>
    <row r="855" spans="1:9" x14ac:dyDescent="0.3">
      <c r="A855" t="s">
        <v>1792</v>
      </c>
      <c r="B855" t="s">
        <v>1504</v>
      </c>
      <c r="C855" t="s">
        <v>1793</v>
      </c>
      <c r="D855" t="s">
        <v>31</v>
      </c>
      <c r="E855" t="s">
        <v>69</v>
      </c>
      <c r="F855">
        <v>7</v>
      </c>
      <c r="G855" t="s">
        <v>12</v>
      </c>
      <c r="H855" s="4">
        <v>0.80833333333333324</v>
      </c>
      <c r="I855" s="5">
        <v>44132</v>
      </c>
    </row>
    <row r="856" spans="1:9" x14ac:dyDescent="0.3">
      <c r="A856" t="s">
        <v>1794</v>
      </c>
      <c r="B856" t="s">
        <v>748</v>
      </c>
      <c r="C856" t="s">
        <v>1795</v>
      </c>
      <c r="D856" t="s">
        <v>10</v>
      </c>
      <c r="E856" t="s">
        <v>17</v>
      </c>
      <c r="F856">
        <v>3</v>
      </c>
      <c r="G856" t="s">
        <v>343</v>
      </c>
      <c r="H856" s="4">
        <v>0.92152777777777783</v>
      </c>
      <c r="I856" s="5">
        <v>44130</v>
      </c>
    </row>
    <row r="857" spans="1:9" x14ac:dyDescent="0.3">
      <c r="A857" t="s">
        <v>1796</v>
      </c>
      <c r="B857" t="s">
        <v>506</v>
      </c>
      <c r="C857" t="s">
        <v>476</v>
      </c>
      <c r="D857" t="s">
        <v>68</v>
      </c>
      <c r="E857" t="s">
        <v>40</v>
      </c>
      <c r="F857">
        <v>10</v>
      </c>
      <c r="G857" t="s">
        <v>47</v>
      </c>
      <c r="H857" s="4">
        <v>0.95486111111111116</v>
      </c>
      <c r="I857" s="5">
        <v>43881</v>
      </c>
    </row>
    <row r="858" spans="1:9" x14ac:dyDescent="0.3">
      <c r="A858" t="s">
        <v>1797</v>
      </c>
      <c r="B858" t="s">
        <v>125</v>
      </c>
      <c r="C858" t="s">
        <v>151</v>
      </c>
      <c r="D858" t="s">
        <v>68</v>
      </c>
      <c r="E858" t="s">
        <v>130</v>
      </c>
      <c r="F858">
        <v>4</v>
      </c>
      <c r="G858" t="s">
        <v>12</v>
      </c>
      <c r="H858" s="4">
        <v>0.7368055555555556</v>
      </c>
      <c r="I858" s="5">
        <v>43854</v>
      </c>
    </row>
    <row r="859" spans="1:9" x14ac:dyDescent="0.3">
      <c r="A859" t="s">
        <v>1798</v>
      </c>
      <c r="B859" t="s">
        <v>333</v>
      </c>
      <c r="C859" t="s">
        <v>1799</v>
      </c>
      <c r="D859" t="s">
        <v>63</v>
      </c>
      <c r="E859" t="s">
        <v>130</v>
      </c>
      <c r="F859">
        <v>5</v>
      </c>
      <c r="G859" t="s">
        <v>47</v>
      </c>
      <c r="H859" s="4">
        <v>0.47222222222222227</v>
      </c>
      <c r="I859" s="5">
        <v>43922</v>
      </c>
    </row>
    <row r="860" spans="1:9" x14ac:dyDescent="0.3">
      <c r="A860" t="s">
        <v>1800</v>
      </c>
      <c r="B860" t="s">
        <v>511</v>
      </c>
      <c r="C860" t="s">
        <v>39</v>
      </c>
      <c r="D860" t="s">
        <v>68</v>
      </c>
      <c r="E860" t="s">
        <v>130</v>
      </c>
      <c r="F860">
        <v>8</v>
      </c>
      <c r="G860" t="s">
        <v>12</v>
      </c>
      <c r="H860" s="4">
        <v>0.91736111111111107</v>
      </c>
      <c r="I860" s="5">
        <v>43887</v>
      </c>
    </row>
    <row r="861" spans="1:9" x14ac:dyDescent="0.3">
      <c r="A861" t="s">
        <v>1801</v>
      </c>
      <c r="B861" t="s">
        <v>716</v>
      </c>
      <c r="C861" t="s">
        <v>1379</v>
      </c>
      <c r="D861" t="s">
        <v>51</v>
      </c>
      <c r="E861" t="s">
        <v>11</v>
      </c>
      <c r="F861">
        <v>5</v>
      </c>
      <c r="G861" t="s">
        <v>47</v>
      </c>
      <c r="H861" s="4">
        <v>0.43611111111111112</v>
      </c>
      <c r="I861" s="5">
        <v>43836</v>
      </c>
    </row>
    <row r="862" spans="1:9" x14ac:dyDescent="0.3">
      <c r="A862" t="s">
        <v>1802</v>
      </c>
      <c r="B862" t="s">
        <v>1803</v>
      </c>
      <c r="C862" t="s">
        <v>239</v>
      </c>
      <c r="D862" t="s">
        <v>16</v>
      </c>
      <c r="E862" t="s">
        <v>91</v>
      </c>
      <c r="F862">
        <v>6</v>
      </c>
      <c r="G862" t="s">
        <v>47</v>
      </c>
      <c r="H862" s="4">
        <v>0.68541666666666667</v>
      </c>
      <c r="I862" s="5">
        <v>43866</v>
      </c>
    </row>
    <row r="863" spans="1:9" x14ac:dyDescent="0.3">
      <c r="A863" t="s">
        <v>1804</v>
      </c>
      <c r="B863" t="s">
        <v>594</v>
      </c>
      <c r="C863" t="s">
        <v>742</v>
      </c>
      <c r="D863" t="s">
        <v>22</v>
      </c>
      <c r="E863" t="s">
        <v>36</v>
      </c>
      <c r="F863">
        <v>6</v>
      </c>
      <c r="G863" t="s">
        <v>47</v>
      </c>
      <c r="H863" s="4">
        <v>0.80833333333333324</v>
      </c>
      <c r="I863" s="5">
        <v>44115</v>
      </c>
    </row>
    <row r="864" spans="1:9" x14ac:dyDescent="0.3">
      <c r="A864" t="s">
        <v>1805</v>
      </c>
      <c r="B864" t="s">
        <v>93</v>
      </c>
      <c r="C864" t="s">
        <v>1806</v>
      </c>
      <c r="D864" t="s">
        <v>68</v>
      </c>
      <c r="E864" t="s">
        <v>130</v>
      </c>
      <c r="F864">
        <v>3</v>
      </c>
      <c r="G864" t="s">
        <v>47</v>
      </c>
      <c r="H864" s="4">
        <v>0.92152777777777783</v>
      </c>
      <c r="I864" s="5">
        <v>44144</v>
      </c>
    </row>
    <row r="865" spans="1:9" x14ac:dyDescent="0.3">
      <c r="A865" t="s">
        <v>1807</v>
      </c>
      <c r="B865" t="s">
        <v>1808</v>
      </c>
      <c r="C865" t="s">
        <v>494</v>
      </c>
      <c r="D865" t="s">
        <v>10</v>
      </c>
      <c r="E865" t="s">
        <v>23</v>
      </c>
      <c r="F865">
        <v>4</v>
      </c>
      <c r="G865" t="s">
        <v>18</v>
      </c>
      <c r="H865" s="4">
        <v>0.95486111111111116</v>
      </c>
      <c r="I865" s="5">
        <v>43893</v>
      </c>
    </row>
    <row r="866" spans="1:9" x14ac:dyDescent="0.3">
      <c r="A866" t="s">
        <v>1809</v>
      </c>
      <c r="B866" t="s">
        <v>176</v>
      </c>
      <c r="C866" t="s">
        <v>1810</v>
      </c>
      <c r="D866" t="s">
        <v>22</v>
      </c>
      <c r="E866" t="s">
        <v>23</v>
      </c>
      <c r="F866">
        <v>8</v>
      </c>
      <c r="G866" t="s">
        <v>12</v>
      </c>
      <c r="H866" s="4">
        <v>0.7368055555555556</v>
      </c>
      <c r="I866" s="5">
        <v>44027</v>
      </c>
    </row>
    <row r="867" spans="1:9" x14ac:dyDescent="0.3">
      <c r="A867" t="s">
        <v>1811</v>
      </c>
      <c r="B867" t="s">
        <v>1406</v>
      </c>
      <c r="C867" t="s">
        <v>231</v>
      </c>
      <c r="D867" t="s">
        <v>79</v>
      </c>
      <c r="E867" t="s">
        <v>32</v>
      </c>
      <c r="F867">
        <v>3</v>
      </c>
      <c r="G867" t="s">
        <v>47</v>
      </c>
      <c r="H867" s="4">
        <v>0.47222222222222227</v>
      </c>
      <c r="I867" s="5">
        <v>43883</v>
      </c>
    </row>
    <row r="868" spans="1:9" x14ac:dyDescent="0.3">
      <c r="A868" t="s">
        <v>1812</v>
      </c>
      <c r="B868" t="s">
        <v>293</v>
      </c>
      <c r="C868" t="s">
        <v>1813</v>
      </c>
      <c r="D868" t="s">
        <v>10</v>
      </c>
      <c r="E868" t="s">
        <v>32</v>
      </c>
      <c r="F868">
        <v>3</v>
      </c>
      <c r="G868" t="s">
        <v>47</v>
      </c>
      <c r="H868" s="4">
        <v>0.91736111111111107</v>
      </c>
      <c r="I868" s="5">
        <v>43857</v>
      </c>
    </row>
    <row r="869" spans="1:9" x14ac:dyDescent="0.3">
      <c r="A869" t="s">
        <v>1814</v>
      </c>
      <c r="B869" t="s">
        <v>266</v>
      </c>
      <c r="C869" t="s">
        <v>1502</v>
      </c>
      <c r="D869" t="s">
        <v>31</v>
      </c>
      <c r="E869" t="s">
        <v>40</v>
      </c>
      <c r="F869">
        <v>8</v>
      </c>
      <c r="G869" t="s">
        <v>47</v>
      </c>
      <c r="H869" s="4">
        <v>0.43611111111111112</v>
      </c>
      <c r="I869" s="5">
        <v>43836</v>
      </c>
    </row>
    <row r="870" spans="1:9" x14ac:dyDescent="0.3">
      <c r="A870" t="s">
        <v>1815</v>
      </c>
      <c r="B870" t="s">
        <v>712</v>
      </c>
      <c r="C870" t="s">
        <v>1816</v>
      </c>
      <c r="D870" t="s">
        <v>10</v>
      </c>
      <c r="E870" t="s">
        <v>80</v>
      </c>
      <c r="F870">
        <v>6</v>
      </c>
      <c r="G870" t="s">
        <v>18</v>
      </c>
      <c r="H870" s="4">
        <v>0.68541666666666667</v>
      </c>
      <c r="I870" s="5">
        <v>43938</v>
      </c>
    </row>
    <row r="871" spans="1:9" x14ac:dyDescent="0.3">
      <c r="A871" t="s">
        <v>1817</v>
      </c>
      <c r="B871" t="s">
        <v>1442</v>
      </c>
      <c r="C871" t="s">
        <v>1818</v>
      </c>
      <c r="D871" t="s">
        <v>22</v>
      </c>
      <c r="E871" t="s">
        <v>17</v>
      </c>
      <c r="F871">
        <v>10</v>
      </c>
      <c r="G871" t="s">
        <v>47</v>
      </c>
      <c r="H871" s="4">
        <v>0.80833333333333324</v>
      </c>
      <c r="I871" s="5">
        <v>43877</v>
      </c>
    </row>
    <row r="872" spans="1:9" x14ac:dyDescent="0.3">
      <c r="A872" t="s">
        <v>1819</v>
      </c>
      <c r="B872" t="s">
        <v>352</v>
      </c>
      <c r="C872" t="s">
        <v>93</v>
      </c>
      <c r="D872" t="s">
        <v>22</v>
      </c>
      <c r="E872" t="s">
        <v>32</v>
      </c>
      <c r="F872">
        <v>10</v>
      </c>
      <c r="G872" t="s">
        <v>47</v>
      </c>
      <c r="H872" s="4">
        <v>0.92152777777777783</v>
      </c>
      <c r="I872" s="5">
        <v>44156</v>
      </c>
    </row>
    <row r="873" spans="1:9" x14ac:dyDescent="0.3">
      <c r="A873" t="s">
        <v>1820</v>
      </c>
      <c r="B873" t="s">
        <v>616</v>
      </c>
      <c r="C873" t="s">
        <v>1821</v>
      </c>
      <c r="D873" t="s">
        <v>22</v>
      </c>
      <c r="E873" t="s">
        <v>17</v>
      </c>
      <c r="F873">
        <v>7</v>
      </c>
      <c r="G873" t="s">
        <v>47</v>
      </c>
      <c r="H873" s="4">
        <v>0.95486111111111116</v>
      </c>
      <c r="I873" s="5">
        <v>43838</v>
      </c>
    </row>
    <row r="874" spans="1:9" x14ac:dyDescent="0.3">
      <c r="A874" t="s">
        <v>1822</v>
      </c>
      <c r="B874" t="s">
        <v>841</v>
      </c>
      <c r="C874" t="s">
        <v>1742</v>
      </c>
      <c r="D874" t="s">
        <v>22</v>
      </c>
      <c r="E874" t="s">
        <v>69</v>
      </c>
      <c r="F874">
        <v>4</v>
      </c>
      <c r="G874" t="s">
        <v>47</v>
      </c>
      <c r="H874" s="4">
        <v>0.7368055555555556</v>
      </c>
      <c r="I874" s="5">
        <v>43896</v>
      </c>
    </row>
    <row r="875" spans="1:9" x14ac:dyDescent="0.3">
      <c r="A875" t="s">
        <v>1823</v>
      </c>
      <c r="B875" t="s">
        <v>1824</v>
      </c>
      <c r="C875" t="s">
        <v>1825</v>
      </c>
      <c r="D875" t="s">
        <v>79</v>
      </c>
      <c r="E875" t="s">
        <v>17</v>
      </c>
      <c r="F875">
        <v>10</v>
      </c>
      <c r="G875" t="s">
        <v>47</v>
      </c>
      <c r="H875" s="4">
        <v>0.47222222222222227</v>
      </c>
      <c r="I875" s="5">
        <v>43941</v>
      </c>
    </row>
    <row r="876" spans="1:9" x14ac:dyDescent="0.3">
      <c r="A876" t="s">
        <v>1826</v>
      </c>
      <c r="B876" t="s">
        <v>712</v>
      </c>
      <c r="C876" t="s">
        <v>1330</v>
      </c>
      <c r="D876" t="s">
        <v>51</v>
      </c>
      <c r="E876" t="s">
        <v>91</v>
      </c>
      <c r="F876">
        <v>6</v>
      </c>
      <c r="G876" t="s">
        <v>47</v>
      </c>
      <c r="H876" s="4">
        <v>0.91736111111111107</v>
      </c>
      <c r="I876" s="5">
        <v>44101</v>
      </c>
    </row>
    <row r="877" spans="1:9" x14ac:dyDescent="0.3">
      <c r="A877" t="s">
        <v>1827</v>
      </c>
      <c r="B877" t="s">
        <v>1828</v>
      </c>
      <c r="C877" t="s">
        <v>236</v>
      </c>
      <c r="D877" t="s">
        <v>22</v>
      </c>
      <c r="E877" t="s">
        <v>40</v>
      </c>
      <c r="F877">
        <v>9</v>
      </c>
      <c r="G877" t="s">
        <v>343</v>
      </c>
      <c r="H877" s="4">
        <v>0.43611111111111112</v>
      </c>
      <c r="I877" s="5">
        <v>43858</v>
      </c>
    </row>
    <row r="878" spans="1:9" x14ac:dyDescent="0.3">
      <c r="A878" t="s">
        <v>1829</v>
      </c>
      <c r="B878" t="s">
        <v>359</v>
      </c>
      <c r="C878" t="s">
        <v>1830</v>
      </c>
      <c r="D878" t="s">
        <v>51</v>
      </c>
      <c r="E878" t="s">
        <v>69</v>
      </c>
      <c r="F878">
        <v>9</v>
      </c>
      <c r="G878" t="s">
        <v>47</v>
      </c>
      <c r="H878" s="4">
        <v>0.68541666666666667</v>
      </c>
      <c r="I878" s="5">
        <v>44055</v>
      </c>
    </row>
    <row r="879" spans="1:9" x14ac:dyDescent="0.3">
      <c r="A879" t="s">
        <v>1831</v>
      </c>
      <c r="B879" t="s">
        <v>132</v>
      </c>
      <c r="C879" t="s">
        <v>1832</v>
      </c>
      <c r="D879" t="s">
        <v>22</v>
      </c>
      <c r="E879" t="s">
        <v>84</v>
      </c>
      <c r="F879">
        <v>3</v>
      </c>
      <c r="G879" t="s">
        <v>47</v>
      </c>
      <c r="H879" s="4">
        <v>0.80833333333333324</v>
      </c>
      <c r="I879" s="5">
        <v>43909</v>
      </c>
    </row>
    <row r="880" spans="1:9" x14ac:dyDescent="0.3">
      <c r="A880" t="s">
        <v>1833</v>
      </c>
      <c r="B880" t="s">
        <v>1553</v>
      </c>
      <c r="C880" t="s">
        <v>826</v>
      </c>
      <c r="D880" t="s">
        <v>51</v>
      </c>
      <c r="E880" t="s">
        <v>23</v>
      </c>
      <c r="F880">
        <v>5</v>
      </c>
      <c r="G880" t="s">
        <v>18</v>
      </c>
      <c r="H880" s="4">
        <v>0.92152777777777783</v>
      </c>
      <c r="I880" s="5">
        <v>43995</v>
      </c>
    </row>
    <row r="881" spans="1:9" x14ac:dyDescent="0.3">
      <c r="A881" t="s">
        <v>1834</v>
      </c>
      <c r="B881" t="s">
        <v>458</v>
      </c>
      <c r="C881" t="s">
        <v>1835</v>
      </c>
      <c r="D881" t="s">
        <v>22</v>
      </c>
      <c r="E881" t="s">
        <v>32</v>
      </c>
      <c r="F881">
        <v>4</v>
      </c>
      <c r="G881" t="s">
        <v>47</v>
      </c>
      <c r="H881" s="4">
        <v>0.95486111111111116</v>
      </c>
      <c r="I881" s="5">
        <v>44156</v>
      </c>
    </row>
    <row r="882" spans="1:9" x14ac:dyDescent="0.3">
      <c r="A882" t="s">
        <v>1836</v>
      </c>
      <c r="B882" t="s">
        <v>349</v>
      </c>
      <c r="C882" t="s">
        <v>1837</v>
      </c>
      <c r="D882" t="s">
        <v>51</v>
      </c>
      <c r="E882" t="s">
        <v>84</v>
      </c>
      <c r="F882">
        <v>7</v>
      </c>
      <c r="G882" t="s">
        <v>47</v>
      </c>
      <c r="H882" s="4">
        <v>0.7368055555555556</v>
      </c>
      <c r="I882" s="5">
        <v>43887</v>
      </c>
    </row>
    <row r="883" spans="1:9" x14ac:dyDescent="0.3">
      <c r="A883" t="s">
        <v>1838</v>
      </c>
      <c r="B883" t="s">
        <v>247</v>
      </c>
      <c r="C883" t="s">
        <v>1028</v>
      </c>
      <c r="D883" t="s">
        <v>16</v>
      </c>
      <c r="E883" t="s">
        <v>40</v>
      </c>
      <c r="F883">
        <v>4</v>
      </c>
      <c r="G883" t="s">
        <v>18</v>
      </c>
      <c r="H883" s="4">
        <v>0.47222222222222227</v>
      </c>
      <c r="I883" s="5">
        <v>43868</v>
      </c>
    </row>
    <row r="884" spans="1:9" x14ac:dyDescent="0.3">
      <c r="A884" t="s">
        <v>1839</v>
      </c>
      <c r="B884" t="s">
        <v>171</v>
      </c>
      <c r="C884" t="s">
        <v>1317</v>
      </c>
      <c r="D884" t="s">
        <v>16</v>
      </c>
      <c r="E884" t="s">
        <v>17</v>
      </c>
      <c r="F884">
        <v>9</v>
      </c>
      <c r="G884" t="s">
        <v>47</v>
      </c>
      <c r="H884" s="4">
        <v>0.91736111111111107</v>
      </c>
      <c r="I884" s="5">
        <v>43948</v>
      </c>
    </row>
    <row r="885" spans="1:9" x14ac:dyDescent="0.3">
      <c r="A885" t="s">
        <v>1840</v>
      </c>
      <c r="B885" t="s">
        <v>1841</v>
      </c>
      <c r="C885" t="s">
        <v>1842</v>
      </c>
      <c r="D885" t="s">
        <v>68</v>
      </c>
      <c r="E885" t="s">
        <v>40</v>
      </c>
      <c r="F885">
        <v>10</v>
      </c>
      <c r="G885" t="s">
        <v>18</v>
      </c>
      <c r="H885" s="4">
        <v>0.43611111111111112</v>
      </c>
      <c r="I885" s="5">
        <v>44170</v>
      </c>
    </row>
    <row r="886" spans="1:9" x14ac:dyDescent="0.3">
      <c r="A886" t="s">
        <v>1843</v>
      </c>
      <c r="B886" t="s">
        <v>671</v>
      </c>
      <c r="C886" t="s">
        <v>1379</v>
      </c>
      <c r="D886" t="s">
        <v>79</v>
      </c>
      <c r="E886" t="s">
        <v>27</v>
      </c>
      <c r="F886">
        <v>6</v>
      </c>
      <c r="G886" t="s">
        <v>47</v>
      </c>
      <c r="H886" s="4">
        <v>0.68541666666666667</v>
      </c>
      <c r="I886" s="5">
        <v>43888</v>
      </c>
    </row>
    <row r="887" spans="1:9" x14ac:dyDescent="0.3">
      <c r="A887" t="s">
        <v>1844</v>
      </c>
      <c r="B887" t="s">
        <v>1845</v>
      </c>
      <c r="C887" t="s">
        <v>355</v>
      </c>
      <c r="D887" t="s">
        <v>22</v>
      </c>
      <c r="E887" t="s">
        <v>40</v>
      </c>
      <c r="F887">
        <v>9</v>
      </c>
      <c r="G887" t="s">
        <v>12</v>
      </c>
      <c r="H887" s="4">
        <v>0.80833333333333324</v>
      </c>
      <c r="I887" s="5">
        <v>43965</v>
      </c>
    </row>
    <row r="888" spans="1:9" x14ac:dyDescent="0.3">
      <c r="A888" t="s">
        <v>1846</v>
      </c>
      <c r="B888" t="s">
        <v>107</v>
      </c>
      <c r="C888" t="s">
        <v>1847</v>
      </c>
      <c r="D888" t="s">
        <v>63</v>
      </c>
      <c r="E888" t="s">
        <v>11</v>
      </c>
      <c r="F888">
        <v>6</v>
      </c>
      <c r="G888" t="s">
        <v>47</v>
      </c>
      <c r="H888" s="4">
        <v>0.92152777777777783</v>
      </c>
      <c r="I888" s="5">
        <v>44139</v>
      </c>
    </row>
    <row r="889" spans="1:9" x14ac:dyDescent="0.3">
      <c r="A889" t="s">
        <v>1848</v>
      </c>
      <c r="B889" t="s">
        <v>458</v>
      </c>
      <c r="C889" t="s">
        <v>1849</v>
      </c>
      <c r="D889" t="s">
        <v>22</v>
      </c>
      <c r="E889" t="s">
        <v>105</v>
      </c>
      <c r="F889">
        <v>5</v>
      </c>
      <c r="G889" t="s">
        <v>18</v>
      </c>
      <c r="H889" s="4">
        <v>0.95486111111111116</v>
      </c>
      <c r="I889" s="5">
        <v>44111</v>
      </c>
    </row>
    <row r="890" spans="1:9" x14ac:dyDescent="0.3">
      <c r="A890" t="s">
        <v>1850</v>
      </c>
      <c r="B890" t="s">
        <v>594</v>
      </c>
      <c r="C890" t="s">
        <v>1851</v>
      </c>
      <c r="D890" t="s">
        <v>68</v>
      </c>
      <c r="E890" t="s">
        <v>36</v>
      </c>
      <c r="F890">
        <v>3</v>
      </c>
      <c r="G890" t="s">
        <v>47</v>
      </c>
      <c r="H890" s="4">
        <v>0.7368055555555556</v>
      </c>
      <c r="I890" s="5">
        <v>44030</v>
      </c>
    </row>
    <row r="891" spans="1:9" x14ac:dyDescent="0.3">
      <c r="A891" t="s">
        <v>1852</v>
      </c>
      <c r="B891" t="s">
        <v>616</v>
      </c>
      <c r="C891" t="s">
        <v>1853</v>
      </c>
      <c r="D891" t="s">
        <v>31</v>
      </c>
      <c r="E891" t="s">
        <v>17</v>
      </c>
      <c r="F891">
        <v>5</v>
      </c>
      <c r="G891" t="s">
        <v>47</v>
      </c>
      <c r="H891" s="4">
        <v>0.47222222222222227</v>
      </c>
      <c r="I891" s="5">
        <v>43932</v>
      </c>
    </row>
    <row r="892" spans="1:9" x14ac:dyDescent="0.3">
      <c r="A892" t="s">
        <v>1854</v>
      </c>
      <c r="B892" t="s">
        <v>266</v>
      </c>
      <c r="C892" t="s">
        <v>645</v>
      </c>
      <c r="D892" t="s">
        <v>51</v>
      </c>
      <c r="E892" t="s">
        <v>32</v>
      </c>
      <c r="F892">
        <v>8</v>
      </c>
      <c r="G892" t="s">
        <v>12</v>
      </c>
      <c r="H892" s="4">
        <v>0.91736111111111107</v>
      </c>
      <c r="I892" s="5">
        <v>44070</v>
      </c>
    </row>
    <row r="893" spans="1:9" x14ac:dyDescent="0.3">
      <c r="A893" t="s">
        <v>1855</v>
      </c>
      <c r="B893" t="s">
        <v>1070</v>
      </c>
      <c r="C893" t="s">
        <v>1856</v>
      </c>
      <c r="D893" t="s">
        <v>79</v>
      </c>
      <c r="E893" t="s">
        <v>27</v>
      </c>
      <c r="F893">
        <v>3</v>
      </c>
      <c r="G893" t="s">
        <v>18</v>
      </c>
      <c r="H893" s="4">
        <v>0.43611111111111112</v>
      </c>
      <c r="I893" s="5">
        <v>43895</v>
      </c>
    </row>
    <row r="894" spans="1:9" x14ac:dyDescent="0.3">
      <c r="A894" t="s">
        <v>1857</v>
      </c>
      <c r="B894" t="s">
        <v>1858</v>
      </c>
      <c r="C894" t="s">
        <v>35</v>
      </c>
      <c r="D894" t="s">
        <v>76</v>
      </c>
      <c r="E894" t="s">
        <v>80</v>
      </c>
      <c r="F894">
        <v>9</v>
      </c>
      <c r="G894" t="s">
        <v>12</v>
      </c>
      <c r="H894" s="4">
        <v>0.68541666666666667</v>
      </c>
      <c r="I894" s="5">
        <v>43990</v>
      </c>
    </row>
    <row r="895" spans="1:9" x14ac:dyDescent="0.3">
      <c r="A895" t="s">
        <v>1859</v>
      </c>
      <c r="B895" t="s">
        <v>1860</v>
      </c>
      <c r="C895" t="s">
        <v>519</v>
      </c>
      <c r="D895" t="s">
        <v>79</v>
      </c>
      <c r="E895" t="s">
        <v>36</v>
      </c>
      <c r="F895">
        <v>8</v>
      </c>
      <c r="G895" t="s">
        <v>12</v>
      </c>
      <c r="H895" s="4">
        <v>0.80833333333333324</v>
      </c>
      <c r="I895" s="5">
        <v>43904</v>
      </c>
    </row>
    <row r="896" spans="1:9" x14ac:dyDescent="0.3">
      <c r="A896" t="s">
        <v>1861</v>
      </c>
      <c r="B896" t="s">
        <v>399</v>
      </c>
      <c r="C896" t="s">
        <v>1268</v>
      </c>
      <c r="D896" t="s">
        <v>22</v>
      </c>
      <c r="E896" t="s">
        <v>27</v>
      </c>
      <c r="F896">
        <v>8</v>
      </c>
      <c r="G896" t="s">
        <v>47</v>
      </c>
      <c r="H896" s="4">
        <v>0.92152777777777783</v>
      </c>
      <c r="I896" s="5">
        <v>44002</v>
      </c>
    </row>
    <row r="897" spans="1:9" x14ac:dyDescent="0.3">
      <c r="A897" t="s">
        <v>1862</v>
      </c>
      <c r="B897" t="s">
        <v>359</v>
      </c>
      <c r="C897" t="s">
        <v>1863</v>
      </c>
      <c r="D897" t="s">
        <v>10</v>
      </c>
      <c r="E897" t="s">
        <v>40</v>
      </c>
      <c r="F897">
        <v>5</v>
      </c>
      <c r="G897" t="s">
        <v>18</v>
      </c>
      <c r="H897" s="4">
        <v>0.95486111111111116</v>
      </c>
      <c r="I897" s="5">
        <v>44117</v>
      </c>
    </row>
    <row r="898" spans="1:9" x14ac:dyDescent="0.3">
      <c r="A898" t="s">
        <v>1864</v>
      </c>
      <c r="B898" t="s">
        <v>1865</v>
      </c>
      <c r="C898" t="s">
        <v>1866</v>
      </c>
      <c r="D898" t="s">
        <v>31</v>
      </c>
      <c r="E898" t="s">
        <v>40</v>
      </c>
      <c r="F898">
        <v>8</v>
      </c>
      <c r="G898" t="s">
        <v>12</v>
      </c>
      <c r="H898" s="4">
        <v>0.7368055555555556</v>
      </c>
      <c r="I898" s="5">
        <v>43904</v>
      </c>
    </row>
    <row r="899" spans="1:9" x14ac:dyDescent="0.3">
      <c r="A899" t="s">
        <v>1867</v>
      </c>
      <c r="B899" t="s">
        <v>830</v>
      </c>
      <c r="C899" t="s">
        <v>188</v>
      </c>
      <c r="D899" t="s">
        <v>10</v>
      </c>
      <c r="E899" t="s">
        <v>91</v>
      </c>
      <c r="F899">
        <v>6</v>
      </c>
      <c r="G899" t="s">
        <v>47</v>
      </c>
      <c r="H899" s="4">
        <v>0.47222222222222227</v>
      </c>
      <c r="I899" s="5">
        <v>44019</v>
      </c>
    </row>
    <row r="900" spans="1:9" x14ac:dyDescent="0.3">
      <c r="A900" t="s">
        <v>1868</v>
      </c>
      <c r="B900" t="s">
        <v>321</v>
      </c>
      <c r="C900" t="s">
        <v>1869</v>
      </c>
      <c r="D900" t="s">
        <v>76</v>
      </c>
      <c r="E900" t="s">
        <v>36</v>
      </c>
      <c r="F900">
        <v>3</v>
      </c>
      <c r="G900" t="s">
        <v>47</v>
      </c>
      <c r="H900" s="4">
        <v>0.91736111111111107</v>
      </c>
      <c r="I900" s="5">
        <v>43924</v>
      </c>
    </row>
    <row r="901" spans="1:9" x14ac:dyDescent="0.3">
      <c r="A901" t="s">
        <v>1870</v>
      </c>
      <c r="B901" t="s">
        <v>1871</v>
      </c>
      <c r="C901" t="s">
        <v>1872</v>
      </c>
      <c r="D901" t="s">
        <v>51</v>
      </c>
      <c r="E901" t="s">
        <v>64</v>
      </c>
      <c r="F901">
        <v>7</v>
      </c>
      <c r="G901" t="s">
        <v>47</v>
      </c>
      <c r="H901" s="4">
        <v>0.43611111111111112</v>
      </c>
      <c r="I901" s="5">
        <v>43840</v>
      </c>
    </row>
    <row r="902" spans="1:9" x14ac:dyDescent="0.3">
      <c r="A902" t="s">
        <v>1873</v>
      </c>
      <c r="B902" t="s">
        <v>1542</v>
      </c>
      <c r="C902" t="s">
        <v>1874</v>
      </c>
      <c r="D902" t="s">
        <v>63</v>
      </c>
      <c r="E902" t="s">
        <v>23</v>
      </c>
      <c r="F902">
        <v>10</v>
      </c>
      <c r="G902" t="s">
        <v>12</v>
      </c>
      <c r="H902" s="4">
        <v>0.68541666666666667</v>
      </c>
      <c r="I902" s="5">
        <v>43850</v>
      </c>
    </row>
    <row r="903" spans="1:9" x14ac:dyDescent="0.3">
      <c r="A903" t="s">
        <v>1875</v>
      </c>
      <c r="B903" t="s">
        <v>626</v>
      </c>
      <c r="C903" t="s">
        <v>904</v>
      </c>
      <c r="D903" t="s">
        <v>10</v>
      </c>
      <c r="E903" t="s">
        <v>36</v>
      </c>
      <c r="F903">
        <v>7</v>
      </c>
      <c r="G903" t="s">
        <v>18</v>
      </c>
      <c r="H903" s="4">
        <v>0.80833333333333324</v>
      </c>
      <c r="I903" s="5">
        <v>43862</v>
      </c>
    </row>
    <row r="904" spans="1:9" x14ac:dyDescent="0.3">
      <c r="A904" t="s">
        <v>1876</v>
      </c>
      <c r="B904" t="s">
        <v>147</v>
      </c>
      <c r="C904" t="s">
        <v>1550</v>
      </c>
      <c r="D904" t="s">
        <v>22</v>
      </c>
      <c r="E904" t="s">
        <v>105</v>
      </c>
      <c r="F904">
        <v>6</v>
      </c>
      <c r="G904" t="s">
        <v>47</v>
      </c>
      <c r="H904" s="4">
        <v>0.92152777777777783</v>
      </c>
      <c r="I904" s="5">
        <v>44008</v>
      </c>
    </row>
    <row r="905" spans="1:9" x14ac:dyDescent="0.3">
      <c r="A905" t="s">
        <v>1877</v>
      </c>
      <c r="B905" t="s">
        <v>1072</v>
      </c>
      <c r="C905" t="s">
        <v>555</v>
      </c>
      <c r="D905" t="s">
        <v>31</v>
      </c>
      <c r="E905" t="s">
        <v>105</v>
      </c>
      <c r="F905">
        <v>9</v>
      </c>
      <c r="G905" t="s">
        <v>47</v>
      </c>
      <c r="H905" s="4">
        <v>0.95486111111111116</v>
      </c>
      <c r="I905" s="5">
        <v>44109</v>
      </c>
    </row>
    <row r="906" spans="1:9" x14ac:dyDescent="0.3">
      <c r="A906" t="s">
        <v>1878</v>
      </c>
      <c r="B906" t="s">
        <v>1879</v>
      </c>
      <c r="C906" t="s">
        <v>1880</v>
      </c>
      <c r="D906" t="s">
        <v>68</v>
      </c>
      <c r="E906" t="s">
        <v>69</v>
      </c>
      <c r="F906">
        <v>4</v>
      </c>
      <c r="G906" t="s">
        <v>47</v>
      </c>
      <c r="H906" s="4">
        <v>0.7368055555555556</v>
      </c>
      <c r="I906" s="5">
        <v>44115</v>
      </c>
    </row>
    <row r="907" spans="1:9" x14ac:dyDescent="0.3">
      <c r="A907" t="s">
        <v>1881</v>
      </c>
      <c r="B907" t="s">
        <v>315</v>
      </c>
      <c r="C907" t="s">
        <v>1882</v>
      </c>
      <c r="D907" t="s">
        <v>16</v>
      </c>
      <c r="E907" t="s">
        <v>105</v>
      </c>
      <c r="F907">
        <v>8</v>
      </c>
      <c r="G907" t="s">
        <v>18</v>
      </c>
      <c r="H907" s="4">
        <v>0.47222222222222227</v>
      </c>
      <c r="I907" s="5">
        <v>44049</v>
      </c>
    </row>
    <row r="908" spans="1:9" x14ac:dyDescent="0.3">
      <c r="A908" t="s">
        <v>1883</v>
      </c>
      <c r="B908" t="s">
        <v>528</v>
      </c>
      <c r="C908" t="s">
        <v>804</v>
      </c>
      <c r="D908" t="s">
        <v>10</v>
      </c>
      <c r="E908" t="s">
        <v>80</v>
      </c>
      <c r="F908">
        <v>10</v>
      </c>
      <c r="G908" t="s">
        <v>18</v>
      </c>
      <c r="H908" s="4">
        <v>0.91736111111111107</v>
      </c>
      <c r="I908" s="5">
        <v>43888</v>
      </c>
    </row>
    <row r="909" spans="1:9" x14ac:dyDescent="0.3">
      <c r="A909" t="s">
        <v>1884</v>
      </c>
      <c r="B909" t="s">
        <v>421</v>
      </c>
      <c r="C909" t="s">
        <v>1402</v>
      </c>
      <c r="D909" t="s">
        <v>22</v>
      </c>
      <c r="E909" t="s">
        <v>69</v>
      </c>
      <c r="F909">
        <v>8</v>
      </c>
      <c r="G909" t="s">
        <v>47</v>
      </c>
      <c r="H909" s="4">
        <v>0.43611111111111112</v>
      </c>
      <c r="I909" s="5">
        <v>43934</v>
      </c>
    </row>
    <row r="910" spans="1:9" x14ac:dyDescent="0.3">
      <c r="A910" t="s">
        <v>1885</v>
      </c>
      <c r="B910" t="s">
        <v>128</v>
      </c>
      <c r="C910" t="s">
        <v>1886</v>
      </c>
      <c r="D910" t="s">
        <v>31</v>
      </c>
      <c r="E910" t="s">
        <v>23</v>
      </c>
      <c r="F910">
        <v>5</v>
      </c>
      <c r="G910" t="s">
        <v>12</v>
      </c>
      <c r="H910" s="4">
        <v>0.68541666666666667</v>
      </c>
      <c r="I910" s="5">
        <v>44146</v>
      </c>
    </row>
    <row r="911" spans="1:9" x14ac:dyDescent="0.3">
      <c r="A911" t="s">
        <v>1887</v>
      </c>
      <c r="B911" t="s">
        <v>295</v>
      </c>
      <c r="C911" t="s">
        <v>1888</v>
      </c>
      <c r="D911" t="s">
        <v>31</v>
      </c>
      <c r="E911" t="s">
        <v>84</v>
      </c>
      <c r="F911">
        <v>8</v>
      </c>
      <c r="G911" t="s">
        <v>18</v>
      </c>
      <c r="H911" s="4">
        <v>0.80833333333333324</v>
      </c>
      <c r="I911" s="5">
        <v>44009</v>
      </c>
    </row>
    <row r="912" spans="1:9" x14ac:dyDescent="0.3">
      <c r="A912" t="s">
        <v>1889</v>
      </c>
      <c r="B912" t="s">
        <v>454</v>
      </c>
      <c r="C912" t="s">
        <v>1890</v>
      </c>
      <c r="D912" t="s">
        <v>31</v>
      </c>
      <c r="E912" t="s">
        <v>91</v>
      </c>
      <c r="F912">
        <v>8</v>
      </c>
      <c r="G912" t="s">
        <v>12</v>
      </c>
      <c r="H912" s="4">
        <v>0.92152777777777783</v>
      </c>
      <c r="I912" s="5">
        <v>43949</v>
      </c>
    </row>
    <row r="913" spans="1:9" x14ac:dyDescent="0.3">
      <c r="A913" t="s">
        <v>1891</v>
      </c>
      <c r="B913" t="s">
        <v>114</v>
      </c>
      <c r="C913" t="s">
        <v>96</v>
      </c>
      <c r="D913" t="s">
        <v>10</v>
      </c>
      <c r="E913" t="s">
        <v>91</v>
      </c>
      <c r="F913">
        <v>3</v>
      </c>
      <c r="G913" t="s">
        <v>12</v>
      </c>
      <c r="H913" s="4">
        <v>0.95486111111111116</v>
      </c>
      <c r="I913" s="5">
        <v>43976</v>
      </c>
    </row>
    <row r="914" spans="1:9" x14ac:dyDescent="0.3">
      <c r="A914" t="s">
        <v>1892</v>
      </c>
      <c r="B914" t="s">
        <v>252</v>
      </c>
      <c r="C914" t="s">
        <v>1893</v>
      </c>
      <c r="D914" t="s">
        <v>51</v>
      </c>
      <c r="E914" t="s">
        <v>64</v>
      </c>
      <c r="F914">
        <v>4</v>
      </c>
      <c r="G914" t="s">
        <v>18</v>
      </c>
      <c r="H914" s="4">
        <v>0.7368055555555556</v>
      </c>
      <c r="I914" s="5">
        <v>44001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3</vt:i4>
      </vt:variant>
      <vt:variant>
        <vt:lpstr>Adlandırılmış Aralıklar</vt:lpstr>
      </vt:variant>
      <vt:variant>
        <vt:i4>1</vt:i4>
      </vt:variant>
    </vt:vector>
  </HeadingPairs>
  <TitlesOfParts>
    <vt:vector size="4" baseType="lpstr">
      <vt:lpstr>Pivot Table</vt:lpstr>
      <vt:lpstr>Dashboard</vt:lpstr>
      <vt:lpstr>Siparişler</vt:lpstr>
      <vt:lpstr>sehir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dcterms:created xsi:type="dcterms:W3CDTF">2022-09-19T15:10:24Z</dcterms:created>
  <dcterms:modified xsi:type="dcterms:W3CDTF">2022-10-06T19:15:57Z</dcterms:modified>
</cp:coreProperties>
</file>